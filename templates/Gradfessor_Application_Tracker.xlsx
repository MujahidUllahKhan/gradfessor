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Dashboard" state="visible" r:id="rId4"/>
    <sheet sheetId="2" name="Applications" state="visible" r:id="rId5"/>
    <sheet sheetId="3" name="Professor Outreach" state="visible" r:id="rId6"/>
    <sheet sheetId="4" name="Match Results" state="visible" r:id="rId7"/>
    <sheet sheetId="5" name="My Profile" state="visible" r:id="rId8"/>
    <sheet sheetId="6" name="Lists" state="hidden" r:id="rId9"/>
  </sheets>
  <calcPr calcId="171027" fullCalcOnLoad="1"/>
</workbook>
</file>

<file path=xl/sharedStrings.xml><?xml version="1.0" encoding="utf-8"?>
<sst xmlns="http://schemas.openxmlformats.org/spreadsheetml/2006/main" count="180" uniqueCount="143">
  <si>
    <t>Gradfessor by Afridi: Application Tracker</t>
  </si>
  <si>
    <t>Blank template. Fill the yellow columns on the Applications and Professor Outreach sheets; grey columns are formulas.</t>
  </si>
  <si>
    <t>APPLICATIONS</t>
  </si>
  <si>
    <t>Programs tracked</t>
  </si>
  <si>
    <t>Every row with a university name</t>
  </si>
  <si>
    <t>Submitted (or further along)</t>
  </si>
  <si>
    <t>Status column</t>
  </si>
  <si>
    <t>Admitted</t>
  </si>
  <si>
    <t>Deadlines in the next 14 days</t>
  </si>
  <si>
    <t>Uses the Days left column</t>
  </si>
  <si>
    <t>Overdue (deadline passed, not submitted)</t>
  </si>
  <si>
    <t>Check these first</t>
  </si>
  <si>
    <t>Total application fees (USD)</t>
  </si>
  <si>
    <t>Fees waived (USD)</t>
  </si>
  <si>
    <t>Fee waiver = Granted</t>
  </si>
  <si>
    <t>Fee waivers still available to request</t>
  </si>
  <si>
    <t>Email the graduate school before you pay</t>
  </si>
  <si>
    <t>PROFESSOR OUTREACH</t>
  </si>
  <si>
    <t>Professors tracked</t>
  </si>
  <si>
    <t>Emails sent</t>
  </si>
  <si>
    <t>Rows with an email sent date</t>
  </si>
  <si>
    <t>Replies received</t>
  </si>
  <si>
    <t>Rows with a reply date</t>
  </si>
  <si>
    <t>Reply rate</t>
  </si>
  <si>
    <t>Follow-ups due now</t>
  </si>
  <si>
    <t>Follow-up status = DUE</t>
  </si>
  <si>
    <t>Interviews / calls scheduled</t>
  </si>
  <si>
    <t>Confirmed support</t>
  </si>
  <si>
    <t>Professor agreed to support or fund you</t>
  </si>
  <si>
    <t>SETTINGS</t>
  </si>
  <si>
    <t>Follow up after (business days)</t>
  </si>
  <si>
    <t>Edit this number; the follow-up formulas use it</t>
  </si>
  <si>
    <t>How to use</t>
  </si>
  <si>
    <t>• Yellow header columns are for you to fill. Grey header columns are formulas; do not type over them.</t>
  </si>
  <si>
    <t>• Dropdowns: Status, Fee waiver, GRE, SOP/RS status, Stage and Reply type only accept listed values.</t>
  </si>
  <si>
    <t>• Days left turns red within 7 days and amber within 21. Follow-up status shows DUE when it is time to send a polite follow-up.</t>
  </si>
  <si>
    <t>• Match scores are text-overlap guides, not admission predictions.</t>
  </si>
  <si>
    <t>University</t>
  </si>
  <si>
    <t>Program</t>
  </si>
  <si>
    <t>Degree</t>
  </si>
  <si>
    <t>Term</t>
  </si>
  <si>
    <t>Deadline</t>
  </si>
  <si>
    <t>Days left</t>
  </si>
  <si>
    <t>Funding / priority deadline</t>
  </si>
  <si>
    <t>App fee (USD)</t>
  </si>
  <si>
    <t>Fee waiver</t>
  </si>
  <si>
    <t>GRE</t>
  </si>
  <si>
    <t>English minimum</t>
  </si>
  <si>
    <t>SOP</t>
  </si>
  <si>
    <t>Research statement</t>
  </si>
  <si>
    <t>LORs required</t>
  </si>
  <si>
    <t>LORs submitted</t>
  </si>
  <si>
    <t>Transcripts sent</t>
  </si>
  <si>
    <t>Test scores sent</t>
  </si>
  <si>
    <t>Status</t>
  </si>
  <si>
    <t>Portal link</t>
  </si>
  <si>
    <t>Notes</t>
  </si>
  <si>
    <t>Example University (delete this row)</t>
  </si>
  <si>
    <t>PhD Industrial Engineering</t>
  </si>
  <si>
    <t>PhD</t>
  </si>
  <si>
    <t>Fall 2027</t>
  </si>
  <si>
    <t>Available</t>
  </si>
  <si>
    <t>Optional</t>
  </si>
  <si>
    <t>IELTS 6.5 / TOEFL 80</t>
  </si>
  <si>
    <t>Draft</t>
  </si>
  <si>
    <t>Not started</t>
  </si>
  <si>
    <t>No</t>
  </si>
  <si>
    <t>In progress</t>
  </si>
  <si>
    <t>Ask grad school about fee waiver before paying</t>
  </si>
  <si>
    <t>Professor</t>
  </si>
  <si>
    <t>Email</t>
  </si>
  <si>
    <t>Match score</t>
  </si>
  <si>
    <t>Stage</t>
  </si>
  <si>
    <t>Email sent</t>
  </si>
  <si>
    <t>Follow-up due</t>
  </si>
  <si>
    <t>Follow-up status</t>
  </si>
  <si>
    <t>Reply date</t>
  </si>
  <si>
    <t>Reply type</t>
  </si>
  <si>
    <t>Interview / call date</t>
  </si>
  <si>
    <t>Dr. Example Name (delete this row)</t>
  </si>
  <si>
    <t>Example University</t>
  </si>
  <si>
    <t>name@example.edu</t>
  </si>
  <si>
    <t>Mentioned their 2025 paper on ...</t>
  </si>
  <si>
    <t>Department</t>
  </si>
  <si>
    <t>Overall</t>
  </si>
  <si>
    <t>Verdict</t>
  </si>
  <si>
    <t>Topic fit</t>
  </si>
  <si>
    <t>Evidence overlap</t>
  </si>
  <si>
    <t>Methods</t>
  </si>
  <si>
    <t>Research style</t>
  </si>
  <si>
    <t>Shared keywords</t>
  </si>
  <si>
    <t>Gap keywords</t>
  </si>
  <si>
    <t>Methods to learn / add</t>
  </si>
  <si>
    <t>Profile URL</t>
  </si>
  <si>
    <t>Scores are based on text overlap between your profile and the professor’s listed interests and papers. They are guides for where to look, not predictions of admission.</t>
  </si>
  <si>
    <t>Name</t>
  </si>
  <si>
    <t/>
  </si>
  <si>
    <t>Target degree</t>
  </si>
  <si>
    <t>Target term</t>
  </si>
  <si>
    <t>Field</t>
  </si>
  <si>
    <t>IELTS</t>
  </si>
  <si>
    <t>TOEFL iBT</t>
  </si>
  <si>
    <t>Duolingo</t>
  </si>
  <si>
    <t>GMAT</t>
  </si>
  <si>
    <t>Research interests</t>
  </si>
  <si>
    <t>Skills</t>
  </si>
  <si>
    <t>Coursework</t>
  </si>
  <si>
    <t>Publications</t>
  </si>
  <si>
    <t>Projects</t>
  </si>
  <si>
    <t>FeeWaiver</t>
  </si>
  <si>
    <t>DocStatus</t>
  </si>
  <si>
    <t>YesNo</t>
  </si>
  <si>
    <t>Reply</t>
  </si>
  <si>
    <t>Not available</t>
  </si>
  <si>
    <t>Required</t>
  </si>
  <si>
    <t>Yes</t>
  </si>
  <si>
    <t>Identified</t>
  </si>
  <si>
    <t>Enthusiastic</t>
  </si>
  <si>
    <t>Strong</t>
  </si>
  <si>
    <t>Email drafted</t>
  </si>
  <si>
    <t>Positive but cautious</t>
  </si>
  <si>
    <t>Moderate</t>
  </si>
  <si>
    <t>Submitted</t>
  </si>
  <si>
    <t>Requested</t>
  </si>
  <si>
    <t>Not accepted</t>
  </si>
  <si>
    <t>Final</t>
  </si>
  <si>
    <t>Generic / auto-reply</t>
  </si>
  <si>
    <t>Weak</t>
  </si>
  <si>
    <t>Interview</t>
  </si>
  <si>
    <t>Granted</t>
  </si>
  <si>
    <t>Waived</t>
  </si>
  <si>
    <t>Follow-up sent</t>
  </si>
  <si>
    <t>Redirect</t>
  </si>
  <si>
    <t>Denied</t>
  </si>
  <si>
    <t>N/A</t>
  </si>
  <si>
    <t>Replied</t>
  </si>
  <si>
    <t>Negative</t>
  </si>
  <si>
    <t>Rejected</t>
  </si>
  <si>
    <t>Interview scheduled</t>
  </si>
  <si>
    <t>Waitlisted</t>
  </si>
  <si>
    <t>Withdrawn</t>
  </si>
  <si>
    <t>Declined</t>
  </si>
  <si>
    <t>No response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</si>
</sst>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$#,##0"/>
    <numFmt numFmtId="165" formatCode="yyyy-mm-dd"/>
  </numFmts>
  <fonts count="9" x14ac:knownFonts="1">
    <font>
      <color theme="1"/>
      <family val="2"/>
      <scheme val="minor"/>
      <sz val="11"/>
      <name val="Calibri"/>
    </font>
    <font>
      <b/>
      <color rgb="FF0E5A6B"/>
      <sz val="16"/>
      <name val="Arial"/>
    </font>
    <font>
      <i/>
      <color rgb="FF5A6776"/>
      <sz val="10"/>
      <name val="Arial"/>
    </font>
    <font>
      <b/>
      <color rgb="FF0E5A6B"/>
      <sz val="10"/>
      <name val="Arial"/>
    </font>
    <font>
      <sz val="10"/>
      <name val="Arial"/>
    </font>
    <font>
      <b/>
      <sz val="10"/>
      <name val="Arial"/>
    </font>
    <font>
      <color rgb="FF5A6776"/>
      <sz val="10"/>
      <name val="Arial"/>
    </font>
    <font>
      <b/>
      <color rgb="FF0000FF"/>
      <sz val="10"/>
      <name val="Arial"/>
    </font>
    <font>
      <b/>
      <color rgb="FFFFFFFF"/>
      <sz val="10"/>
      <name val="Arial"/>
    </font>
  </fonts>
  <fills count="5">
    <fill>
      <patternFill patternType="none"/>
    </fill>
    <fill>
      <patternFill patternType="gray125"/>
    </fill>
    <fill>
      <patternFill patternType="solid">
        <fgColor rgb="FFFFF8E1"/>
      </patternFill>
    </fill>
    <fill>
      <patternFill patternType="solid">
        <fgColor rgb="FF0E5A6B"/>
      </patternFill>
    </fill>
    <fill>
      <patternFill patternType="solid">
        <fgColor rgb="FF5A6776"/>
      </patternFill>
    </fill>
  </fills>
  <borders count="3">
    <border>
      <left/>
      <right/>
      <top/>
      <bottom/>
      <diagonal/>
    </border>
    <border>
      <left/>
      <right/>
      <top/>
      <bottom style="thin">
        <color rgb="FF0E5A6B"/>
      </bottom>
      <diagonal/>
    </border>
    <border>
      <left/>
      <right/>
      <top/>
      <bottom style="hair">
        <color rgb="FFD9DFE6"/>
      </bottom>
      <diagonal/>
    </border>
  </borders>
  <cellStyleXfs count="1">
    <xf numFmtId="0" fontId="0" fillId="0" borderId="0"/>
  </cellStyleXfs>
  <cellXfs count="18">
    <xf numFmtId="0" fontId="0" fillId="0" borderId="0" xfId="0"/>
    <xf numFmtId="0" fontId="1" fillId="0" borderId="0" xfId="0" applyFont="1"/>
    <xf numFmtId="0" fontId="2" fillId="0" borderId="0" xfId="0" applyFont="1"/>
    <xf numFmtId="0" fontId="3" fillId="0" borderId="1" xfId="0" applyFont="1" applyBorder="1"/>
    <xf numFmtId="0" fontId="4" fillId="0" borderId="0" xfId="0" applyFont="1"/>
    <xf numFmtId="0" fontId="5" fillId="0" borderId="0" xfId="0" applyFont="1"/>
    <xf numFmtId="0" fontId="6" fillId="0" borderId="0" xfId="0" applyFont="1"/>
    <xf numFmtId="164" fontId="5" fillId="0" borderId="0" xfId="0" applyNumberFormat="1" applyFont="1"/>
    <xf numFmtId="9" fontId="5" fillId="0" borderId="0" xfId="0" applyNumberFormat="1" applyFont="1"/>
    <xf numFmtId="0" fontId="7" fillId="2" borderId="0" xfId="0" applyFont="1" applyFill="1"/>
    <xf numFmtId="0" fontId="8" fillId="3" borderId="0" xfId="0" applyFont="1" applyFill="1" applyAlignment="1">
      <alignment vertical="center" wrapText="1"/>
    </xf>
    <xf numFmtId="0" fontId="8" fillId="4" borderId="0" xfId="0" applyFont="1" applyFill="1" applyAlignment="1">
      <alignment vertical="center" wrapText="1"/>
    </xf>
    <xf numFmtId="0" fontId="4" fillId="0" borderId="2" xfId="0" applyFont="1" applyBorder="1" applyAlignment="1">
      <alignment vertical="top"/>
    </xf>
    <xf numFmtId="165" fontId="4" fillId="0" borderId="2" xfId="0" applyNumberFormat="1" applyFont="1" applyBorder="1" applyAlignment="1">
      <alignment vertical="top"/>
    </xf>
    <xf numFmtId="1" fontId="4" fillId="0" borderId="2" xfId="0" applyNumberFormat="1" applyFont="1" applyBorder="1" applyAlignment="1">
      <alignment vertical="top"/>
    </xf>
    <xf numFmtId="164" fontId="4" fillId="0" borderId="2" xfId="0" applyNumberFormat="1" applyFont="1" applyBorder="1" applyAlignment="1">
      <alignment vertical="top"/>
    </xf>
    <xf numFmtId="0" fontId="4" fillId="0" borderId="2" xfId="0" applyFont="1" applyBorder="1" applyAlignment="1">
      <alignment vertical="top" wrapText="1"/>
    </xf>
    <xf numFmtId="0" fontId="4" fillId="0" borderId="0" xfId="0" applyFont="1" applyAlignment="1">
      <alignment vertical="top" wrapText="1"/>
    </xf>
  </cellXfs>
  <cellStyles count="1">
    <cellStyle name="Normal" xfId="0" builtinId="0"/>
  </cellStyles>
  <dxfs count="26">
    <dxf>
      <font>
        <color rgb="FF6B7280"/>
      </font>
      <fill>
        <patternFill patternType="solid">
          <fgColor rgb="FFE5E7EB"/>
          <bgColor rgb="FFE5E7EB"/>
        </patternFill>
      </fill>
    </dxf>
    <dxf>
      <font>
        <b/>
        <color rgb="FF9B1C1C"/>
      </font>
      <fill>
        <patternFill patternType="solid">
          <fgColor rgb="FFF8D7DA"/>
          <bgColor rgb="FFF8D7DA"/>
        </patternFill>
      </fill>
    </dxf>
    <dxf>
      <fill>
        <patternFill patternType="solid">
          <fgColor rgb="FFFDECC8"/>
          <bgColor rgb="FFFDECC8"/>
        </patternFill>
      </fill>
    </dxf>
    <dxf>
      <fill>
        <patternFill patternType="solid">
          <fgColor rgb="FFD1F0DF"/>
          <bgColor rgb="FFD1F0DF"/>
        </patternFill>
      </fill>
    </dxf>
    <dxf>
      <fill>
        <patternFill patternType="solid">
          <fgColor rgb="FFDCEBF5"/>
          <bgColor rgb="FFDCEBF5"/>
        </patternFill>
      </fill>
    </dxf>
    <dxf>
      <fill>
        <patternFill patternType="solid">
          <fgColor rgb="FFE9DDF7"/>
          <bgColor rgb="FFE9DDF7"/>
        </patternFill>
      </fill>
    </dxf>
    <dxf>
      <fill>
        <patternFill patternType="solid">
          <fgColor rgb="FFF3F4F6"/>
          <bgColor rgb="FFF3F4F6"/>
        </patternFill>
      </fill>
    </dxf>
    <dxf>
      <fill>
        <patternFill patternType="solid">
          <fgColor rgb="FFFDECC8"/>
          <bgColor rgb="FFFDECC8"/>
        </patternFill>
      </fill>
    </dxf>
    <dxf>
      <fill>
        <patternFill patternType="solid">
          <fgColor rgb="FFD1F0DF"/>
          <bgColor rgb="FFD1F0DF"/>
        </patternFill>
      </fill>
    </dxf>
    <dxf>
      <font>
        <b/>
        <color rgb="FF9B1C1C"/>
      </font>
      <fill>
        <patternFill patternType="solid">
          <fgColor rgb="FFF8D7DA"/>
          <bgColor rgb="FFF8D7DA"/>
        </patternFill>
      </fill>
    </dxf>
    <dxf>
      <fill>
        <patternFill patternType="solid">
          <fgColor rgb="FFD1F0DF"/>
          <bgColor rgb="FFD1F0DF"/>
        </patternFill>
      </fill>
    </dxf>
    <dxf>
      <fill>
        <patternFill patternType="solid">
          <fgColor rgb="FFD1F0DF"/>
          <bgColor rgb="FFD1F0DF"/>
        </patternFill>
      </fill>
    </dxf>
    <dxf>
      <fill>
        <patternFill patternType="solid">
          <fgColor rgb="FFFDECC8"/>
          <bgColor rgb="FFFDECC8"/>
        </patternFill>
      </fill>
    </dxf>
    <dxf>
      <fill>
        <patternFill patternType="solid">
          <fgColor rgb="FFF8D7DA"/>
          <bgColor rgb="FFF8D7DA"/>
        </patternFill>
      </fill>
    </dxf>
    <dxf>
      <fill>
        <patternFill patternType="solid">
          <fgColor rgb="FFF3F4F6"/>
          <bgColor rgb="FFF3F4F6"/>
        </patternFill>
      </fill>
    </dxf>
    <dxf>
      <fill>
        <patternFill patternType="solid">
          <fgColor rgb="FFFEF9C3"/>
          <bgColor rgb="FFFEF9C3"/>
        </patternFill>
      </fill>
    </dxf>
    <dxf>
      <fill>
        <patternFill patternType="solid">
          <fgColor rgb="FFFDECC8"/>
          <bgColor rgb="FFFDECC8"/>
        </patternFill>
      </fill>
    </dxf>
    <dxf>
      <fill>
        <patternFill patternType="solid">
          <fgColor rgb="FFFDE2C8"/>
          <bgColor rgb="FFFDE2C8"/>
        </patternFill>
      </fill>
    </dxf>
    <dxf>
      <fill>
        <patternFill patternType="solid">
          <fgColor rgb="FFE9DDF7"/>
          <bgColor rgb="FFE9DDF7"/>
        </patternFill>
      </fill>
    </dxf>
    <dxf>
      <fill>
        <patternFill patternType="solid">
          <fgColor rgb="FFDCEBF5"/>
          <bgColor rgb="FFDCEBF5"/>
        </patternFill>
      </fill>
    </dxf>
    <dxf>
      <fill>
        <patternFill patternType="solid">
          <fgColor rgb="FFD1F0DF"/>
          <bgColor rgb="FFD1F0DF"/>
        </patternFill>
      </fill>
    </dxf>
    <dxf>
      <fill>
        <patternFill patternType="solid">
          <fgColor rgb="FFE5E7EB"/>
          <bgColor rgb="FFE5E7EB"/>
        </patternFill>
      </fill>
    </dxf>
    <dxf>
      <fill>
        <patternFill patternType="solid">
          <fgColor rgb="FFE5E7EB"/>
          <bgColor rgb="FFE5E7EB"/>
        </patternFill>
      </fill>
    </dxf>
    <dxf>
      <fill>
        <patternFill patternType="solid">
          <fgColor rgb="FFD1F0DF"/>
          <bgColor rgb="FFD1F0DF"/>
        </patternFill>
      </fill>
    </dxf>
    <dxf>
      <fill>
        <patternFill patternType="solid">
          <fgColor rgb="FFFDECC8"/>
          <bgColor rgb="FFFDECC8"/>
        </patternFill>
      </fill>
    </dxf>
    <dxf>
      <fill>
        <patternFill patternType="solid">
          <fgColor rgb="FFF8D7DA"/>
          <bgColor rgb="FFF8D7DA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Relationship Id="rId8" Type="http://schemas.openxmlformats.org/officeDocument/2006/relationships/worksheet" Target="worksheets/sheet5.xml"/><Relationship Id="rId9" Type="http://schemas.openxmlformats.org/officeDocument/2006/relationships/worksheet" Target="worksheets/sheet6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0E5A6B"/>
  </sheetPr>
  <dimension ref="A1:C28"/>
  <sheetFormatPr defaultRowHeight="15" outlineLevelRow="0" outlineLevelCol="0" x14ac:dyDescent="55"/>
  <cols>
    <col min="1" max="1" width="38" customWidth="1"/>
    <col min="2" max="2" width="18" customWidth="1"/>
    <col min="3" max="3" width="70" customWidth="1"/>
  </cols>
  <sheetData>
    <row r="1" spans="1:1" x14ac:dyDescent="0.25">
      <c r="A1" s="1" t="s">
        <v>0</v>
      </c>
    </row>
    <row r="2" spans="1:1" x14ac:dyDescent="0.25">
      <c r="A2" s="2" t="s">
        <v>1</v>
      </c>
    </row>
    <row r="4" spans="1:3" x14ac:dyDescent="0.25">
      <c r="A4" s="3" t="s">
        <v>2</v>
      </c>
    </row>
    <row r="5" spans="1:3" x14ac:dyDescent="0.25">
      <c r="A5" s="4" t="s">
        <v>3</v>
      </c>
      <c r="B5" s="5">
        <f>COUNTA(Applications!A2:A301)</f>
      </c>
      <c r="C5" s="6" t="s">
        <v>4</v>
      </c>
    </row>
    <row r="6" spans="1:3" x14ac:dyDescent="0.25">
      <c r="A6" s="4" t="s">
        <v>5</v>
      </c>
      <c r="B6" s="5">
        <f>COUNTIF(Applications!R2:R301,"Submitted")+COUNTIF(Applications!R2:R301,"Interview")+COUNTIF(Applications!R2:R301,"Admitted")+COUNTIF(Applications!R2:R301,"Rejected")+COUNTIF(Applications!R2:R301,"Waitlisted")</f>
      </c>
      <c r="C6" s="6" t="s">
        <v>6</v>
      </c>
    </row>
    <row r="7" spans="1:3" x14ac:dyDescent="0.25">
      <c r="A7" s="4" t="s">
        <v>7</v>
      </c>
      <c r="B7" s="5">
        <f>COUNTIF(Applications!R2:R301,"Admitted")</f>
      </c>
      <c r="C7" s="6"/>
    </row>
    <row r="8" spans="1:3" x14ac:dyDescent="0.25">
      <c r="A8" s="4" t="s">
        <v>8</v>
      </c>
      <c r="B8" s="5">
        <f>COUNTIFS(Applications!F2:F301,"&gt;=0",Applications!F2:F301,"&lt;=14")</f>
      </c>
      <c r="C8" s="6" t="s">
        <v>9</v>
      </c>
    </row>
    <row r="9" spans="1:3" x14ac:dyDescent="0.25">
      <c r="A9" s="4" t="s">
        <v>10</v>
      </c>
      <c r="B9" s="5">
        <f>COUNTIFS(Applications!F2:F301,"&lt;0",Applications!R2:R301,"&lt;&gt;Submitted",Applications!R2:R301,"&lt;&gt;Interview",Applications!R2:R301,"&lt;&gt;Admitted",Applications!R2:R301,"&lt;&gt;Rejected",Applications!R2:R301,"&lt;&gt;Waitlisted",Applications!R2:R301,"&lt;&gt;Withdrawn")</f>
      </c>
      <c r="C9" s="6" t="s">
        <v>11</v>
      </c>
    </row>
    <row r="10" spans="1:3" x14ac:dyDescent="0.25">
      <c r="A10" s="4" t="s">
        <v>12</v>
      </c>
      <c r="B10" s="7">
        <f>SUM(Applications!H2:H301)</f>
      </c>
      <c r="C10" s="6"/>
    </row>
    <row r="11" spans="1:3" x14ac:dyDescent="0.25">
      <c r="A11" s="4" t="s">
        <v>13</v>
      </c>
      <c r="B11" s="7">
        <f>SUMIF(Applications!I2:I301,"Granted",Applications!H2:H301)</f>
      </c>
      <c r="C11" s="6" t="s">
        <v>14</v>
      </c>
    </row>
    <row r="12" spans="1:3" x14ac:dyDescent="0.25">
      <c r="A12" s="4" t="s">
        <v>15</v>
      </c>
      <c r="B12" s="5">
        <f>COUNTIF(Applications!I2:I301,"Available")</f>
      </c>
      <c r="C12" s="6" t="s">
        <v>16</v>
      </c>
    </row>
    <row r="13" spans="1:3" x14ac:dyDescent="0.25">
      <c r="A13" s="3" t="s">
        <v>17</v>
      </c>
    </row>
    <row r="14" spans="1:3" x14ac:dyDescent="0.25">
      <c r="A14" s="4" t="s">
        <v>18</v>
      </c>
      <c r="B14" s="5">
        <f>COUNTA('Professor Outreach'!A2:A301)</f>
      </c>
      <c r="C14" s="6"/>
    </row>
    <row r="15" spans="1:3" x14ac:dyDescent="0.25">
      <c r="A15" s="4" t="s">
        <v>19</v>
      </c>
      <c r="B15" s="5">
        <f>COUNT('Professor Outreach'!F2:F301)</f>
      </c>
      <c r="C15" s="6" t="s">
        <v>20</v>
      </c>
    </row>
    <row r="16" spans="1:3" x14ac:dyDescent="0.25">
      <c r="A16" s="4" t="s">
        <v>21</v>
      </c>
      <c r="B16" s="5">
        <f>COUNT('Professor Outreach'!I2:I301)</f>
      </c>
      <c r="C16" s="6" t="s">
        <v>22</v>
      </c>
    </row>
    <row r="17" spans="1:3" x14ac:dyDescent="0.25">
      <c r="A17" s="4" t="s">
        <v>23</v>
      </c>
      <c r="B17" s="8">
        <f>IF(B15=0,0,B16/B15)</f>
      </c>
      <c r="C17" s="6"/>
    </row>
    <row r="18" spans="1:3" x14ac:dyDescent="0.25">
      <c r="A18" s="4" t="s">
        <v>24</v>
      </c>
      <c r="B18" s="5">
        <f>COUNTIF('Professor Outreach'!H2:H301,"DUE")</f>
      </c>
      <c r="C18" s="6" t="s">
        <v>25</v>
      </c>
    </row>
    <row r="19" spans="1:3" x14ac:dyDescent="0.25">
      <c r="A19" s="4" t="s">
        <v>26</v>
      </c>
      <c r="B19" s="5">
        <f>COUNT('Professor Outreach'!K2:K301)</f>
      </c>
      <c r="C19" s="6"/>
    </row>
    <row r="20" spans="1:3" x14ac:dyDescent="0.25">
      <c r="A20" s="4" t="s">
        <v>27</v>
      </c>
      <c r="B20" s="5">
        <f>COUNTIF('Professor Outreach'!E2:E301,"Confirmed support")</f>
      </c>
      <c r="C20" s="6" t="s">
        <v>28</v>
      </c>
    </row>
    <row r="21" spans="1:3" x14ac:dyDescent="0.25">
      <c r="A21" s="3" t="s">
        <v>29</v>
      </c>
    </row>
    <row r="22" spans="1:3" x14ac:dyDescent="0.25">
      <c r="A22" s="4" t="s">
        <v>30</v>
      </c>
      <c r="B22" s="9">
        <v>10</v>
      </c>
      <c r="C22" s="6" t="s">
        <v>31</v>
      </c>
    </row>
    <row r="24" spans="1:1" x14ac:dyDescent="0.25">
      <c r="A24" s="5" t="s">
        <v>32</v>
      </c>
    </row>
    <row r="25" spans="1:1" x14ac:dyDescent="0.25">
      <c r="A25" s="6" t="s">
        <v>33</v>
      </c>
    </row>
    <row r="26" spans="1:1" x14ac:dyDescent="0.25">
      <c r="A26" s="6" t="s">
        <v>34</v>
      </c>
    </row>
    <row r="27" spans="1:1" x14ac:dyDescent="0.25">
      <c r="A27" s="6" t="s">
        <v>35</v>
      </c>
    </row>
    <row r="28" spans="1:1" x14ac:dyDescent="0.25">
      <c r="A28" s="6" t="s">
        <v>36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2F7D5B"/>
  </sheetPr>
  <dimension ref="A1:T301"/>
  <sheetViews>
    <sheetView workbookViewId="0">
      <pane xSplit="1" ySplit="1" topLeftCell="B2" activePane="bottomRight" state="frozen"/>
      <selection pane="bottomRight"/>
    </sheetView>
  </sheetViews>
  <sheetFormatPr defaultRowHeight="15" outlineLevelRow="0" outlineLevelCol="0" x14ac:dyDescent="55"/>
  <cols>
    <col min="1" max="2" width="26" customWidth="1"/>
    <col min="4" max="4" width="11" customWidth="1"/>
    <col min="5" max="5" width="12" customWidth="1"/>
    <col min="7" max="7" width="14" customWidth="1"/>
    <col min="8" max="8" width="10" customWidth="1"/>
    <col min="9" max="9" width="14" customWidth="1"/>
    <col min="10" max="10" width="12" customWidth="1"/>
    <col min="11" max="11" width="18" customWidth="1"/>
    <col min="12" max="12" width="11" customWidth="1"/>
    <col min="13" max="13" width="12" customWidth="1"/>
    <col min="16" max="17" width="10" customWidth="1"/>
    <col min="18" max="18" width="13" customWidth="1"/>
    <col min="19" max="19" width="26" customWidth="1"/>
    <col min="20" max="20" width="40" customWidth="1"/>
  </cols>
  <sheetData>
    <row r="1" ht="30" customHeight="1" spans="1:20" x14ac:dyDescent="0.25">
      <c r="A1" s="10" t="s">
        <v>37</v>
      </c>
      <c r="B1" s="10" t="s">
        <v>38</v>
      </c>
      <c r="C1" s="10" t="s">
        <v>39</v>
      </c>
      <c r="D1" s="10" t="s">
        <v>40</v>
      </c>
      <c r="E1" s="10" t="s">
        <v>41</v>
      </c>
      <c r="F1" s="11" t="s">
        <v>42</v>
      </c>
      <c r="G1" s="10" t="s">
        <v>43</v>
      </c>
      <c r="H1" s="10" t="s">
        <v>44</v>
      </c>
      <c r="I1" s="10" t="s">
        <v>45</v>
      </c>
      <c r="J1" s="10" t="s">
        <v>46</v>
      </c>
      <c r="K1" s="10" t="s">
        <v>47</v>
      </c>
      <c r="L1" s="10" t="s">
        <v>48</v>
      </c>
      <c r="M1" s="10" t="s">
        <v>49</v>
      </c>
      <c r="N1" s="10" t="s">
        <v>50</v>
      </c>
      <c r="O1" s="10" t="s">
        <v>51</v>
      </c>
      <c r="P1" s="10" t="s">
        <v>52</v>
      </c>
      <c r="Q1" s="10" t="s">
        <v>53</v>
      </c>
      <c r="R1" s="10" t="s">
        <v>54</v>
      </c>
      <c r="S1" s="10" t="s">
        <v>55</v>
      </c>
      <c r="T1" s="10" t="s">
        <v>56</v>
      </c>
    </row>
    <row r="2" spans="1:20" x14ac:dyDescent="0.25">
      <c r="A2" s="12" t="s">
        <v>57</v>
      </c>
      <c r="B2" s="12" t="s">
        <v>58</v>
      </c>
      <c r="C2" s="12" t="s">
        <v>59</v>
      </c>
      <c r="D2" s="12" t="s">
        <v>60</v>
      </c>
      <c r="E2" s="13">
        <v>46371</v>
      </c>
      <c r="F2" s="14">
        <f>IF(E2="","",E2-TODAY())</f>
      </c>
      <c r="G2" s="13">
        <v>46357</v>
      </c>
      <c r="H2" s="15">
        <v>90</v>
      </c>
      <c r="I2" s="12" t="s">
        <v>61</v>
      </c>
      <c r="J2" s="12" t="s">
        <v>62</v>
      </c>
      <c r="K2" s="12" t="s">
        <v>63</v>
      </c>
      <c r="L2" s="12" t="s">
        <v>64</v>
      </c>
      <c r="M2" s="12" t="s">
        <v>65</v>
      </c>
      <c r="N2" s="12">
        <v>3</v>
      </c>
      <c r="O2" s="12">
        <v>1</v>
      </c>
      <c r="P2" s="12" t="s">
        <v>66</v>
      </c>
      <c r="Q2" s="12" t="s">
        <v>66</v>
      </c>
      <c r="R2" s="12" t="s">
        <v>67</v>
      </c>
      <c r="S2" s="12"/>
      <c r="T2" s="16" t="s">
        <v>68</v>
      </c>
    </row>
    <row r="3" spans="1:20" x14ac:dyDescent="0.25">
      <c r="A3" s="12"/>
      <c r="B3" s="12"/>
      <c r="C3" s="12"/>
      <c r="D3" s="12"/>
      <c r="E3" s="13"/>
      <c r="F3" s="14">
        <f>IF(E3="","",E3-TODAY())</f>
      </c>
      <c r="G3" s="13"/>
      <c r="H3" s="15"/>
      <c r="I3" s="12"/>
      <c r="J3" s="12"/>
      <c r="K3" s="12"/>
      <c r="L3" s="12"/>
      <c r="M3" s="12"/>
      <c r="N3" s="12"/>
      <c r="O3" s="12"/>
      <c r="P3" s="12"/>
      <c r="Q3" s="12"/>
      <c r="R3" s="12"/>
      <c r="S3" s="12"/>
      <c r="T3" s="16"/>
    </row>
    <row r="4" spans="1:20" x14ac:dyDescent="0.25">
      <c r="A4" s="12"/>
      <c r="B4" s="12"/>
      <c r="C4" s="12"/>
      <c r="D4" s="12"/>
      <c r="E4" s="13"/>
      <c r="F4" s="14">
        <f>IF(E4="","",E4-TODAY())</f>
      </c>
      <c r="G4" s="13"/>
      <c r="H4" s="15"/>
      <c r="I4" s="12"/>
      <c r="J4" s="12"/>
      <c r="K4" s="12"/>
      <c r="L4" s="12"/>
      <c r="M4" s="12"/>
      <c r="N4" s="12"/>
      <c r="O4" s="12"/>
      <c r="P4" s="12"/>
      <c r="Q4" s="12"/>
      <c r="R4" s="12"/>
      <c r="S4" s="12"/>
      <c r="T4" s="16"/>
    </row>
    <row r="5" spans="1:20" x14ac:dyDescent="0.25">
      <c r="A5" s="12"/>
      <c r="B5" s="12"/>
      <c r="C5" s="12"/>
      <c r="D5" s="12"/>
      <c r="E5" s="13"/>
      <c r="F5" s="14">
        <f>IF(E5="","",E5-TODAY())</f>
      </c>
      <c r="G5" s="13"/>
      <c r="H5" s="15"/>
      <c r="I5" s="12"/>
      <c r="J5" s="12"/>
      <c r="K5" s="12"/>
      <c r="L5" s="12"/>
      <c r="M5" s="12"/>
      <c r="N5" s="12"/>
      <c r="O5" s="12"/>
      <c r="P5" s="12"/>
      <c r="Q5" s="12"/>
      <c r="R5" s="12"/>
      <c r="S5" s="12"/>
      <c r="T5" s="16"/>
    </row>
    <row r="6" spans="1:20" x14ac:dyDescent="0.25">
      <c r="A6" s="12"/>
      <c r="B6" s="12"/>
      <c r="C6" s="12"/>
      <c r="D6" s="12"/>
      <c r="E6" s="13"/>
      <c r="F6" s="14">
        <f>IF(E6="","",E6-TODAY())</f>
      </c>
      <c r="G6" s="13"/>
      <c r="H6" s="15"/>
      <c r="I6" s="12"/>
      <c r="J6" s="12"/>
      <c r="K6" s="12"/>
      <c r="L6" s="12"/>
      <c r="M6" s="12"/>
      <c r="N6" s="12"/>
      <c r="O6" s="12"/>
      <c r="P6" s="12"/>
      <c r="Q6" s="12"/>
      <c r="R6" s="12"/>
      <c r="S6" s="12"/>
      <c r="T6" s="16"/>
    </row>
    <row r="7" spans="1:20" x14ac:dyDescent="0.25">
      <c r="A7" s="12"/>
      <c r="B7" s="12"/>
      <c r="C7" s="12"/>
      <c r="D7" s="12"/>
      <c r="E7" s="13"/>
      <c r="F7" s="14">
        <f>IF(E7="","",E7-TODAY())</f>
      </c>
      <c r="G7" s="13"/>
      <c r="H7" s="15"/>
      <c r="I7" s="12"/>
      <c r="J7" s="12"/>
      <c r="K7" s="12"/>
      <c r="L7" s="12"/>
      <c r="M7" s="12"/>
      <c r="N7" s="12"/>
      <c r="O7" s="12"/>
      <c r="P7" s="12"/>
      <c r="Q7" s="12"/>
      <c r="R7" s="12"/>
      <c r="S7" s="12"/>
      <c r="T7" s="16"/>
    </row>
    <row r="8" spans="1:20" x14ac:dyDescent="0.25">
      <c r="A8" s="12"/>
      <c r="B8" s="12"/>
      <c r="C8" s="12"/>
      <c r="D8" s="12"/>
      <c r="E8" s="13"/>
      <c r="F8" s="14">
        <f>IF(E8="","",E8-TODAY())</f>
      </c>
      <c r="G8" s="13"/>
      <c r="H8" s="15"/>
      <c r="I8" s="12"/>
      <c r="J8" s="12"/>
      <c r="K8" s="12"/>
      <c r="L8" s="12"/>
      <c r="M8" s="12"/>
      <c r="N8" s="12"/>
      <c r="O8" s="12"/>
      <c r="P8" s="12"/>
      <c r="Q8" s="12"/>
      <c r="R8" s="12"/>
      <c r="S8" s="12"/>
      <c r="T8" s="16"/>
    </row>
    <row r="9" spans="1:20" x14ac:dyDescent="0.25">
      <c r="A9" s="12"/>
      <c r="B9" s="12"/>
      <c r="C9" s="12"/>
      <c r="D9" s="12"/>
      <c r="E9" s="13"/>
      <c r="F9" s="14">
        <f>IF(E9="","",E9-TODAY())</f>
      </c>
      <c r="G9" s="13"/>
      <c r="H9" s="15"/>
      <c r="I9" s="12"/>
      <c r="J9" s="12"/>
      <c r="K9" s="12"/>
      <c r="L9" s="12"/>
      <c r="M9" s="12"/>
      <c r="N9" s="12"/>
      <c r="O9" s="12"/>
      <c r="P9" s="12"/>
      <c r="Q9" s="12"/>
      <c r="R9" s="12"/>
      <c r="S9" s="12"/>
      <c r="T9" s="16"/>
    </row>
    <row r="10" spans="1:20" x14ac:dyDescent="0.25">
      <c r="A10" s="12"/>
      <c r="B10" s="12"/>
      <c r="C10" s="12"/>
      <c r="D10" s="12"/>
      <c r="E10" s="13"/>
      <c r="F10" s="14">
        <f>IF(E10="","",E10-TODAY())</f>
      </c>
      <c r="G10" s="13"/>
      <c r="H10" s="15"/>
      <c r="I10" s="12"/>
      <c r="J10" s="12"/>
      <c r="K10" s="12"/>
      <c r="L10" s="12"/>
      <c r="M10" s="12"/>
      <c r="N10" s="12"/>
      <c r="O10" s="12"/>
      <c r="P10" s="12"/>
      <c r="Q10" s="12"/>
      <c r="R10" s="12"/>
      <c r="S10" s="12"/>
      <c r="T10" s="16"/>
    </row>
    <row r="11" spans="1:20" x14ac:dyDescent="0.25">
      <c r="A11" s="12"/>
      <c r="B11" s="12"/>
      <c r="C11" s="12"/>
      <c r="D11" s="12"/>
      <c r="E11" s="13"/>
      <c r="F11" s="14">
        <f>IF(E11="","",E11-TODAY())</f>
      </c>
      <c r="G11" s="13"/>
      <c r="H11" s="15"/>
      <c r="I11" s="12"/>
      <c r="J11" s="12"/>
      <c r="K11" s="12"/>
      <c r="L11" s="12"/>
      <c r="M11" s="12"/>
      <c r="N11" s="12"/>
      <c r="O11" s="12"/>
      <c r="P11" s="12"/>
      <c r="Q11" s="12"/>
      <c r="R11" s="12"/>
      <c r="S11" s="12"/>
      <c r="T11" s="16"/>
    </row>
    <row r="12" spans="1:20" x14ac:dyDescent="0.25">
      <c r="A12" s="12"/>
      <c r="B12" s="12"/>
      <c r="C12" s="12"/>
      <c r="D12" s="12"/>
      <c r="E12" s="13"/>
      <c r="F12" s="14">
        <f>IF(E12="","",E12-TODAY())</f>
      </c>
      <c r="G12" s="13"/>
      <c r="H12" s="15"/>
      <c r="I12" s="12"/>
      <c r="J12" s="12"/>
      <c r="K12" s="12"/>
      <c r="L12" s="12"/>
      <c r="M12" s="12"/>
      <c r="N12" s="12"/>
      <c r="O12" s="12"/>
      <c r="P12" s="12"/>
      <c r="Q12" s="12"/>
      <c r="R12" s="12"/>
      <c r="S12" s="12"/>
      <c r="T12" s="16"/>
    </row>
    <row r="13" spans="1:20" x14ac:dyDescent="0.25">
      <c r="A13" s="12"/>
      <c r="B13" s="12"/>
      <c r="C13" s="12"/>
      <c r="D13" s="12"/>
      <c r="E13" s="13"/>
      <c r="F13" s="14">
        <f>IF(E13="","",E13-TODAY())</f>
      </c>
      <c r="G13" s="13"/>
      <c r="H13" s="15"/>
      <c r="I13" s="12"/>
      <c r="J13" s="12"/>
      <c r="K13" s="12"/>
      <c r="L13" s="12"/>
      <c r="M13" s="12"/>
      <c r="N13" s="12"/>
      <c r="O13" s="12"/>
      <c r="P13" s="12"/>
      <c r="Q13" s="12"/>
      <c r="R13" s="12"/>
      <c r="S13" s="12"/>
      <c r="T13" s="16"/>
    </row>
    <row r="14" spans="1:20" x14ac:dyDescent="0.25">
      <c r="A14" s="12"/>
      <c r="B14" s="12"/>
      <c r="C14" s="12"/>
      <c r="D14" s="12"/>
      <c r="E14" s="13"/>
      <c r="F14" s="14">
        <f>IF(E14="","",E14-TODAY())</f>
      </c>
      <c r="G14" s="13"/>
      <c r="H14" s="15"/>
      <c r="I14" s="12"/>
      <c r="J14" s="12"/>
      <c r="K14" s="12"/>
      <c r="L14" s="12"/>
      <c r="M14" s="12"/>
      <c r="N14" s="12"/>
      <c r="O14" s="12"/>
      <c r="P14" s="12"/>
      <c r="Q14" s="12"/>
      <c r="R14" s="12"/>
      <c r="S14" s="12"/>
      <c r="T14" s="16"/>
    </row>
    <row r="15" spans="1:20" x14ac:dyDescent="0.25">
      <c r="A15" s="12"/>
      <c r="B15" s="12"/>
      <c r="C15" s="12"/>
      <c r="D15" s="12"/>
      <c r="E15" s="13"/>
      <c r="F15" s="14">
        <f>IF(E15="","",E15-TODAY())</f>
      </c>
      <c r="G15" s="13"/>
      <c r="H15" s="15"/>
      <c r="I15" s="12"/>
      <c r="J15" s="12"/>
      <c r="K15" s="12"/>
      <c r="L15" s="12"/>
      <c r="M15" s="12"/>
      <c r="N15" s="12"/>
      <c r="O15" s="12"/>
      <c r="P15" s="12"/>
      <c r="Q15" s="12"/>
      <c r="R15" s="12"/>
      <c r="S15" s="12"/>
      <c r="T15" s="16"/>
    </row>
    <row r="16" spans="1:20" x14ac:dyDescent="0.25">
      <c r="A16" s="12"/>
      <c r="B16" s="12"/>
      <c r="C16" s="12"/>
      <c r="D16" s="12"/>
      <c r="E16" s="13"/>
      <c r="F16" s="14">
        <f>IF(E16="","",E16-TODAY())</f>
      </c>
      <c r="G16" s="13"/>
      <c r="H16" s="15"/>
      <c r="I16" s="12"/>
      <c r="J16" s="12"/>
      <c r="K16" s="12"/>
      <c r="L16" s="12"/>
      <c r="M16" s="12"/>
      <c r="N16" s="12"/>
      <c r="O16" s="12"/>
      <c r="P16" s="12"/>
      <c r="Q16" s="12"/>
      <c r="R16" s="12"/>
      <c r="S16" s="12"/>
      <c r="T16" s="16"/>
    </row>
    <row r="17" spans="1:20" x14ac:dyDescent="0.25">
      <c r="A17" s="12"/>
      <c r="B17" s="12"/>
      <c r="C17" s="12"/>
      <c r="D17" s="12"/>
      <c r="E17" s="13"/>
      <c r="F17" s="14">
        <f>IF(E17="","",E17-TODAY())</f>
      </c>
      <c r="G17" s="13"/>
      <c r="H17" s="15"/>
      <c r="I17" s="12"/>
      <c r="J17" s="12"/>
      <c r="K17" s="12"/>
      <c r="L17" s="12"/>
      <c r="M17" s="12"/>
      <c r="N17" s="12"/>
      <c r="O17" s="12"/>
      <c r="P17" s="12"/>
      <c r="Q17" s="12"/>
      <c r="R17" s="12"/>
      <c r="S17" s="12"/>
      <c r="T17" s="16"/>
    </row>
    <row r="18" spans="1:20" x14ac:dyDescent="0.25">
      <c r="A18" s="12"/>
      <c r="B18" s="12"/>
      <c r="C18" s="12"/>
      <c r="D18" s="12"/>
      <c r="E18" s="13"/>
      <c r="F18" s="14">
        <f>IF(E18="","",E18-TODAY())</f>
      </c>
      <c r="G18" s="13"/>
      <c r="H18" s="15"/>
      <c r="I18" s="12"/>
      <c r="J18" s="12"/>
      <c r="K18" s="12"/>
      <c r="L18" s="12"/>
      <c r="M18" s="12"/>
      <c r="N18" s="12"/>
      <c r="O18" s="12"/>
      <c r="P18" s="12"/>
      <c r="Q18" s="12"/>
      <c r="R18" s="12"/>
      <c r="S18" s="12"/>
      <c r="T18" s="16"/>
    </row>
    <row r="19" spans="1:20" x14ac:dyDescent="0.25">
      <c r="A19" s="12"/>
      <c r="B19" s="12"/>
      <c r="C19" s="12"/>
      <c r="D19" s="12"/>
      <c r="E19" s="13"/>
      <c r="F19" s="14">
        <f>IF(E19="","",E19-TODAY())</f>
      </c>
      <c r="G19" s="13"/>
      <c r="H19" s="15"/>
      <c r="I19" s="12"/>
      <c r="J19" s="12"/>
      <c r="K19" s="12"/>
      <c r="L19" s="12"/>
      <c r="M19" s="12"/>
      <c r="N19" s="12"/>
      <c r="O19" s="12"/>
      <c r="P19" s="12"/>
      <c r="Q19" s="12"/>
      <c r="R19" s="12"/>
      <c r="S19" s="12"/>
      <c r="T19" s="16"/>
    </row>
    <row r="20" spans="1:20" x14ac:dyDescent="0.25">
      <c r="A20" s="12"/>
      <c r="B20" s="12"/>
      <c r="C20" s="12"/>
      <c r="D20" s="12"/>
      <c r="E20" s="13"/>
      <c r="F20" s="14">
        <f>IF(E20="","",E20-TODAY())</f>
      </c>
      <c r="G20" s="13"/>
      <c r="H20" s="15"/>
      <c r="I20" s="12"/>
      <c r="J20" s="12"/>
      <c r="K20" s="12"/>
      <c r="L20" s="12"/>
      <c r="M20" s="12"/>
      <c r="N20" s="12"/>
      <c r="O20" s="12"/>
      <c r="P20" s="12"/>
      <c r="Q20" s="12"/>
      <c r="R20" s="12"/>
      <c r="S20" s="12"/>
      <c r="T20" s="16"/>
    </row>
    <row r="21" spans="1:20" x14ac:dyDescent="0.25">
      <c r="A21" s="12"/>
      <c r="B21" s="12"/>
      <c r="C21" s="12"/>
      <c r="D21" s="12"/>
      <c r="E21" s="13"/>
      <c r="F21" s="14">
        <f>IF(E21="","",E21-TODAY())</f>
      </c>
      <c r="G21" s="13"/>
      <c r="H21" s="15"/>
      <c r="I21" s="12"/>
      <c r="J21" s="12"/>
      <c r="K21" s="12"/>
      <c r="L21" s="12"/>
      <c r="M21" s="12"/>
      <c r="N21" s="12"/>
      <c r="O21" s="12"/>
      <c r="P21" s="12"/>
      <c r="Q21" s="12"/>
      <c r="R21" s="12"/>
      <c r="S21" s="12"/>
      <c r="T21" s="16"/>
    </row>
    <row r="22" spans="1:20" x14ac:dyDescent="0.25">
      <c r="A22" s="12"/>
      <c r="B22" s="12"/>
      <c r="C22" s="12"/>
      <c r="D22" s="12"/>
      <c r="E22" s="13"/>
      <c r="F22" s="14">
        <f>IF(E22="","",E22-TODAY())</f>
      </c>
      <c r="G22" s="13"/>
      <c r="H22" s="15"/>
      <c r="I22" s="12"/>
      <c r="J22" s="12"/>
      <c r="K22" s="12"/>
      <c r="L22" s="12"/>
      <c r="M22" s="12"/>
      <c r="N22" s="12"/>
      <c r="O22" s="12"/>
      <c r="P22" s="12"/>
      <c r="Q22" s="12"/>
      <c r="R22" s="12"/>
      <c r="S22" s="12"/>
      <c r="T22" s="16"/>
    </row>
    <row r="23" spans="1:20" x14ac:dyDescent="0.25">
      <c r="A23" s="12"/>
      <c r="B23" s="12"/>
      <c r="C23" s="12"/>
      <c r="D23" s="12"/>
      <c r="E23" s="13"/>
      <c r="F23" s="14">
        <f>IF(E23="","",E23-TODAY())</f>
      </c>
      <c r="G23" s="13"/>
      <c r="H23" s="15"/>
      <c r="I23" s="12"/>
      <c r="J23" s="12"/>
      <c r="K23" s="12"/>
      <c r="L23" s="12"/>
      <c r="M23" s="12"/>
      <c r="N23" s="12"/>
      <c r="O23" s="12"/>
      <c r="P23" s="12"/>
      <c r="Q23" s="12"/>
      <c r="R23" s="12"/>
      <c r="S23" s="12"/>
      <c r="T23" s="16"/>
    </row>
    <row r="24" spans="1:20" x14ac:dyDescent="0.25">
      <c r="A24" s="12"/>
      <c r="B24" s="12"/>
      <c r="C24" s="12"/>
      <c r="D24" s="12"/>
      <c r="E24" s="13"/>
      <c r="F24" s="14">
        <f>IF(E24="","",E24-TODAY())</f>
      </c>
      <c r="G24" s="13"/>
      <c r="H24" s="15"/>
      <c r="I24" s="12"/>
      <c r="J24" s="12"/>
      <c r="K24" s="12"/>
      <c r="L24" s="12"/>
      <c r="M24" s="12"/>
      <c r="N24" s="12"/>
      <c r="O24" s="12"/>
      <c r="P24" s="12"/>
      <c r="Q24" s="12"/>
      <c r="R24" s="12"/>
      <c r="S24" s="12"/>
      <c r="T24" s="16"/>
    </row>
    <row r="25" spans="1:20" x14ac:dyDescent="0.25">
      <c r="A25" s="12"/>
      <c r="B25" s="12"/>
      <c r="C25" s="12"/>
      <c r="D25" s="12"/>
      <c r="E25" s="13"/>
      <c r="F25" s="14">
        <f>IF(E25="","",E25-TODAY())</f>
      </c>
      <c r="G25" s="13"/>
      <c r="H25" s="15"/>
      <c r="I25" s="12"/>
      <c r="J25" s="12"/>
      <c r="K25" s="12"/>
      <c r="L25" s="12"/>
      <c r="M25" s="12"/>
      <c r="N25" s="12"/>
      <c r="O25" s="12"/>
      <c r="P25" s="12"/>
      <c r="Q25" s="12"/>
      <c r="R25" s="12"/>
      <c r="S25" s="12"/>
      <c r="T25" s="16"/>
    </row>
    <row r="26" spans="1:20" x14ac:dyDescent="0.25">
      <c r="A26" s="12"/>
      <c r="B26" s="12"/>
      <c r="C26" s="12"/>
      <c r="D26" s="12"/>
      <c r="E26" s="13"/>
      <c r="F26" s="14">
        <f>IF(E26="","",E26-TODAY())</f>
      </c>
      <c r="G26" s="13"/>
      <c r="H26" s="15"/>
      <c r="I26" s="12"/>
      <c r="J26" s="12"/>
      <c r="K26" s="12"/>
      <c r="L26" s="12"/>
      <c r="M26" s="12"/>
      <c r="N26" s="12"/>
      <c r="O26" s="12"/>
      <c r="P26" s="12"/>
      <c r="Q26" s="12"/>
      <c r="R26" s="12"/>
      <c r="S26" s="12"/>
      <c r="T26" s="16"/>
    </row>
    <row r="27" spans="1:20" x14ac:dyDescent="0.25">
      <c r="A27" s="12"/>
      <c r="B27" s="12"/>
      <c r="C27" s="12"/>
      <c r="D27" s="12"/>
      <c r="E27" s="13"/>
      <c r="F27" s="14">
        <f>IF(E27="","",E27-TODAY())</f>
      </c>
      <c r="G27" s="13"/>
      <c r="H27" s="15"/>
      <c r="I27" s="12"/>
      <c r="J27" s="12"/>
      <c r="K27" s="12"/>
      <c r="L27" s="12"/>
      <c r="M27" s="12"/>
      <c r="N27" s="12"/>
      <c r="O27" s="12"/>
      <c r="P27" s="12"/>
      <c r="Q27" s="12"/>
      <c r="R27" s="12"/>
      <c r="S27" s="12"/>
      <c r="T27" s="16"/>
    </row>
    <row r="28" spans="1:20" x14ac:dyDescent="0.25">
      <c r="A28" s="12"/>
      <c r="B28" s="12"/>
      <c r="C28" s="12"/>
      <c r="D28" s="12"/>
      <c r="E28" s="13"/>
      <c r="F28" s="14">
        <f>IF(E28="","",E28-TODAY())</f>
      </c>
      <c r="G28" s="13"/>
      <c r="H28" s="15"/>
      <c r="I28" s="12"/>
      <c r="J28" s="12"/>
      <c r="K28" s="12"/>
      <c r="L28" s="12"/>
      <c r="M28" s="12"/>
      <c r="N28" s="12"/>
      <c r="O28" s="12"/>
      <c r="P28" s="12"/>
      <c r="Q28" s="12"/>
      <c r="R28" s="12"/>
      <c r="S28" s="12"/>
      <c r="T28" s="16"/>
    </row>
    <row r="29" spans="1:20" x14ac:dyDescent="0.25">
      <c r="A29" s="12"/>
      <c r="B29" s="12"/>
      <c r="C29" s="12"/>
      <c r="D29" s="12"/>
      <c r="E29" s="13"/>
      <c r="F29" s="14">
        <f>IF(E29="","",E29-TODAY())</f>
      </c>
      <c r="G29" s="13"/>
      <c r="H29" s="15"/>
      <c r="I29" s="12"/>
      <c r="J29" s="12"/>
      <c r="K29" s="12"/>
      <c r="L29" s="12"/>
      <c r="M29" s="12"/>
      <c r="N29" s="12"/>
      <c r="O29" s="12"/>
      <c r="P29" s="12"/>
      <c r="Q29" s="12"/>
      <c r="R29" s="12"/>
      <c r="S29" s="12"/>
      <c r="T29" s="16"/>
    </row>
    <row r="30" spans="1:20" x14ac:dyDescent="0.25">
      <c r="A30" s="12"/>
      <c r="B30" s="12"/>
      <c r="C30" s="12"/>
      <c r="D30" s="12"/>
      <c r="E30" s="13"/>
      <c r="F30" s="14">
        <f>IF(E30="","",E30-TODAY())</f>
      </c>
      <c r="G30" s="13"/>
      <c r="H30" s="15"/>
      <c r="I30" s="12"/>
      <c r="J30" s="12"/>
      <c r="K30" s="12"/>
      <c r="L30" s="12"/>
      <c r="M30" s="12"/>
      <c r="N30" s="12"/>
      <c r="O30" s="12"/>
      <c r="P30" s="12"/>
      <c r="Q30" s="12"/>
      <c r="R30" s="12"/>
      <c r="S30" s="12"/>
      <c r="T30" s="16"/>
    </row>
    <row r="31" spans="1:20" x14ac:dyDescent="0.25">
      <c r="A31" s="12"/>
      <c r="B31" s="12"/>
      <c r="C31" s="12"/>
      <c r="D31" s="12"/>
      <c r="E31" s="13"/>
      <c r="F31" s="14">
        <f>IF(E31="","",E31-TODAY())</f>
      </c>
      <c r="G31" s="13"/>
      <c r="H31" s="15"/>
      <c r="I31" s="12"/>
      <c r="J31" s="12"/>
      <c r="K31" s="12"/>
      <c r="L31" s="12"/>
      <c r="M31" s="12"/>
      <c r="N31" s="12"/>
      <c r="O31" s="12"/>
      <c r="P31" s="12"/>
      <c r="Q31" s="12"/>
      <c r="R31" s="12"/>
      <c r="S31" s="12"/>
      <c r="T31" s="16"/>
    </row>
    <row r="32" spans="1:20" x14ac:dyDescent="0.25">
      <c r="A32" s="12"/>
      <c r="B32" s="12"/>
      <c r="C32" s="12"/>
      <c r="D32" s="12"/>
      <c r="E32" s="13"/>
      <c r="F32" s="14">
        <f>IF(E32="","",E32-TODAY())</f>
      </c>
      <c r="G32" s="13"/>
      <c r="H32" s="15"/>
      <c r="I32" s="12"/>
      <c r="J32" s="12"/>
      <c r="K32" s="12"/>
      <c r="L32" s="12"/>
      <c r="M32" s="12"/>
      <c r="N32" s="12"/>
      <c r="O32" s="12"/>
      <c r="P32" s="12"/>
      <c r="Q32" s="12"/>
      <c r="R32" s="12"/>
      <c r="S32" s="12"/>
      <c r="T32" s="16"/>
    </row>
    <row r="33" spans="1:20" x14ac:dyDescent="0.25">
      <c r="A33" s="12"/>
      <c r="B33" s="12"/>
      <c r="C33" s="12"/>
      <c r="D33" s="12"/>
      <c r="E33" s="13"/>
      <c r="F33" s="14">
        <f>IF(E33="","",E33-TODAY())</f>
      </c>
      <c r="G33" s="13"/>
      <c r="H33" s="15"/>
      <c r="I33" s="12"/>
      <c r="J33" s="12"/>
      <c r="K33" s="12"/>
      <c r="L33" s="12"/>
      <c r="M33" s="12"/>
      <c r="N33" s="12"/>
      <c r="O33" s="12"/>
      <c r="P33" s="12"/>
      <c r="Q33" s="12"/>
      <c r="R33" s="12"/>
      <c r="S33" s="12"/>
      <c r="T33" s="16"/>
    </row>
    <row r="34" spans="1:20" x14ac:dyDescent="0.25">
      <c r="A34" s="12"/>
      <c r="B34" s="12"/>
      <c r="C34" s="12"/>
      <c r="D34" s="12"/>
      <c r="E34" s="13"/>
      <c r="F34" s="14">
        <f>IF(E34="","",E34-TODAY())</f>
      </c>
      <c r="G34" s="13"/>
      <c r="H34" s="15"/>
      <c r="I34" s="12"/>
      <c r="J34" s="12"/>
      <c r="K34" s="12"/>
      <c r="L34" s="12"/>
      <c r="M34" s="12"/>
      <c r="N34" s="12"/>
      <c r="O34" s="12"/>
      <c r="P34" s="12"/>
      <c r="Q34" s="12"/>
      <c r="R34" s="12"/>
      <c r="S34" s="12"/>
      <c r="T34" s="16"/>
    </row>
    <row r="35" spans="1:20" x14ac:dyDescent="0.25">
      <c r="A35" s="12"/>
      <c r="B35" s="12"/>
      <c r="C35" s="12"/>
      <c r="D35" s="12"/>
      <c r="E35" s="13"/>
      <c r="F35" s="14">
        <f>IF(E35="","",E35-TODAY())</f>
      </c>
      <c r="G35" s="13"/>
      <c r="H35" s="15"/>
      <c r="I35" s="12"/>
      <c r="J35" s="12"/>
      <c r="K35" s="12"/>
      <c r="L35" s="12"/>
      <c r="M35" s="12"/>
      <c r="N35" s="12"/>
      <c r="O35" s="12"/>
      <c r="P35" s="12"/>
      <c r="Q35" s="12"/>
      <c r="R35" s="12"/>
      <c r="S35" s="12"/>
      <c r="T35" s="16"/>
    </row>
    <row r="36" spans="1:20" x14ac:dyDescent="0.25">
      <c r="A36" s="12"/>
      <c r="B36" s="12"/>
      <c r="C36" s="12"/>
      <c r="D36" s="12"/>
      <c r="E36" s="13"/>
      <c r="F36" s="14">
        <f>IF(E36="","",E36-TODAY())</f>
      </c>
      <c r="G36" s="13"/>
      <c r="H36" s="15"/>
      <c r="I36" s="12"/>
      <c r="J36" s="12"/>
      <c r="K36" s="12"/>
      <c r="L36" s="12"/>
      <c r="M36" s="12"/>
      <c r="N36" s="12"/>
      <c r="O36" s="12"/>
      <c r="P36" s="12"/>
      <c r="Q36" s="12"/>
      <c r="R36" s="12"/>
      <c r="S36" s="12"/>
      <c r="T36" s="16"/>
    </row>
    <row r="37" spans="1:20" x14ac:dyDescent="0.25">
      <c r="A37" s="12"/>
      <c r="B37" s="12"/>
      <c r="C37" s="12"/>
      <c r="D37" s="12"/>
      <c r="E37" s="13"/>
      <c r="F37" s="14">
        <f>IF(E37="","",E37-TODAY())</f>
      </c>
      <c r="G37" s="13"/>
      <c r="H37" s="15"/>
      <c r="I37" s="12"/>
      <c r="J37" s="12"/>
      <c r="K37" s="12"/>
      <c r="L37" s="12"/>
      <c r="M37" s="12"/>
      <c r="N37" s="12"/>
      <c r="O37" s="12"/>
      <c r="P37" s="12"/>
      <c r="Q37" s="12"/>
      <c r="R37" s="12"/>
      <c r="S37" s="12"/>
      <c r="T37" s="16"/>
    </row>
    <row r="38" spans="1:20" x14ac:dyDescent="0.25">
      <c r="A38" s="12"/>
      <c r="B38" s="12"/>
      <c r="C38" s="12"/>
      <c r="D38" s="12"/>
      <c r="E38" s="13"/>
      <c r="F38" s="14">
        <f>IF(E38="","",E38-TODAY())</f>
      </c>
      <c r="G38" s="13"/>
      <c r="H38" s="15"/>
      <c r="I38" s="12"/>
      <c r="J38" s="12"/>
      <c r="K38" s="12"/>
      <c r="L38" s="12"/>
      <c r="M38" s="12"/>
      <c r="N38" s="12"/>
      <c r="O38" s="12"/>
      <c r="P38" s="12"/>
      <c r="Q38" s="12"/>
      <c r="R38" s="12"/>
      <c r="S38" s="12"/>
      <c r="T38" s="16"/>
    </row>
    <row r="39" spans="1:20" x14ac:dyDescent="0.25">
      <c r="A39" s="12"/>
      <c r="B39" s="12"/>
      <c r="C39" s="12"/>
      <c r="D39" s="12"/>
      <c r="E39" s="13"/>
      <c r="F39" s="14">
        <f>IF(E39="","",E39-TODAY())</f>
      </c>
      <c r="G39" s="13"/>
      <c r="H39" s="15"/>
      <c r="I39" s="12"/>
      <c r="J39" s="12"/>
      <c r="K39" s="12"/>
      <c r="L39" s="12"/>
      <c r="M39" s="12"/>
      <c r="N39" s="12"/>
      <c r="O39" s="12"/>
      <c r="P39" s="12"/>
      <c r="Q39" s="12"/>
      <c r="R39" s="12"/>
      <c r="S39" s="12"/>
      <c r="T39" s="16"/>
    </row>
    <row r="40" spans="1:20" x14ac:dyDescent="0.25">
      <c r="A40" s="12"/>
      <c r="B40" s="12"/>
      <c r="C40" s="12"/>
      <c r="D40" s="12"/>
      <c r="E40" s="13"/>
      <c r="F40" s="14">
        <f>IF(E40="","",E40-TODAY())</f>
      </c>
      <c r="G40" s="13"/>
      <c r="H40" s="15"/>
      <c r="I40" s="12"/>
      <c r="J40" s="12"/>
      <c r="K40" s="12"/>
      <c r="L40" s="12"/>
      <c r="M40" s="12"/>
      <c r="N40" s="12"/>
      <c r="O40" s="12"/>
      <c r="P40" s="12"/>
      <c r="Q40" s="12"/>
      <c r="R40" s="12"/>
      <c r="S40" s="12"/>
      <c r="T40" s="16"/>
    </row>
    <row r="41" spans="1:20" x14ac:dyDescent="0.25">
      <c r="A41" s="12"/>
      <c r="B41" s="12"/>
      <c r="C41" s="12"/>
      <c r="D41" s="12"/>
      <c r="E41" s="13"/>
      <c r="F41" s="14">
        <f>IF(E41="","",E41-TODAY())</f>
      </c>
      <c r="G41" s="13"/>
      <c r="H41" s="15"/>
      <c r="I41" s="12"/>
      <c r="J41" s="12"/>
      <c r="K41" s="12"/>
      <c r="L41" s="12"/>
      <c r="M41" s="12"/>
      <c r="N41" s="12"/>
      <c r="O41" s="12"/>
      <c r="P41" s="12"/>
      <c r="Q41" s="12"/>
      <c r="R41" s="12"/>
      <c r="S41" s="12"/>
      <c r="T41" s="16"/>
    </row>
    <row r="42" spans="1:20" x14ac:dyDescent="0.25">
      <c r="A42" s="12"/>
      <c r="B42" s="12"/>
      <c r="C42" s="12"/>
      <c r="D42" s="12"/>
      <c r="E42" s="13"/>
      <c r="F42" s="14">
        <f>IF(E42="","",E42-TODAY())</f>
      </c>
      <c r="G42" s="13"/>
      <c r="H42" s="15"/>
      <c r="I42" s="12"/>
      <c r="J42" s="12"/>
      <c r="K42" s="12"/>
      <c r="L42" s="12"/>
      <c r="M42" s="12"/>
      <c r="N42" s="12"/>
      <c r="O42" s="12"/>
      <c r="P42" s="12"/>
      <c r="Q42" s="12"/>
      <c r="R42" s="12"/>
      <c r="S42" s="12"/>
      <c r="T42" s="16"/>
    </row>
    <row r="43" spans="1:20" x14ac:dyDescent="0.25">
      <c r="A43" s="12"/>
      <c r="B43" s="12"/>
      <c r="C43" s="12"/>
      <c r="D43" s="12"/>
      <c r="E43" s="13"/>
      <c r="F43" s="14">
        <f>IF(E43="","",E43-TODAY())</f>
      </c>
      <c r="G43" s="13"/>
      <c r="H43" s="15"/>
      <c r="I43" s="12"/>
      <c r="J43" s="12"/>
      <c r="K43" s="12"/>
      <c r="L43" s="12"/>
      <c r="M43" s="12"/>
      <c r="N43" s="12"/>
      <c r="O43" s="12"/>
      <c r="P43" s="12"/>
      <c r="Q43" s="12"/>
      <c r="R43" s="12"/>
      <c r="S43" s="12"/>
      <c r="T43" s="16"/>
    </row>
    <row r="44" spans="1:20" x14ac:dyDescent="0.25">
      <c r="A44" s="12"/>
      <c r="B44" s="12"/>
      <c r="C44" s="12"/>
      <c r="D44" s="12"/>
      <c r="E44" s="13"/>
      <c r="F44" s="14">
        <f>IF(E44="","",E44-TODAY())</f>
      </c>
      <c r="G44" s="13"/>
      <c r="H44" s="15"/>
      <c r="I44" s="12"/>
      <c r="J44" s="12"/>
      <c r="K44" s="12"/>
      <c r="L44" s="12"/>
      <c r="M44" s="12"/>
      <c r="N44" s="12"/>
      <c r="O44" s="12"/>
      <c r="P44" s="12"/>
      <c r="Q44" s="12"/>
      <c r="R44" s="12"/>
      <c r="S44" s="12"/>
      <c r="T44" s="16"/>
    </row>
    <row r="45" spans="1:20" x14ac:dyDescent="0.25">
      <c r="A45" s="12"/>
      <c r="B45" s="12"/>
      <c r="C45" s="12"/>
      <c r="D45" s="12"/>
      <c r="E45" s="13"/>
      <c r="F45" s="14">
        <f>IF(E45="","",E45-TODAY())</f>
      </c>
      <c r="G45" s="13"/>
      <c r="H45" s="15"/>
      <c r="I45" s="12"/>
      <c r="J45" s="12"/>
      <c r="K45" s="12"/>
      <c r="L45" s="12"/>
      <c r="M45" s="12"/>
      <c r="N45" s="12"/>
      <c r="O45" s="12"/>
      <c r="P45" s="12"/>
      <c r="Q45" s="12"/>
      <c r="R45" s="12"/>
      <c r="S45" s="12"/>
      <c r="T45" s="16"/>
    </row>
    <row r="46" spans="1:20" x14ac:dyDescent="0.25">
      <c r="A46" s="12"/>
      <c r="B46" s="12"/>
      <c r="C46" s="12"/>
      <c r="D46" s="12"/>
      <c r="E46" s="13"/>
      <c r="F46" s="14">
        <f>IF(E46="","",E46-TODAY())</f>
      </c>
      <c r="G46" s="13"/>
      <c r="H46" s="15"/>
      <c r="I46" s="12"/>
      <c r="J46" s="12"/>
      <c r="K46" s="12"/>
      <c r="L46" s="12"/>
      <c r="M46" s="12"/>
      <c r="N46" s="12"/>
      <c r="O46" s="12"/>
      <c r="P46" s="12"/>
      <c r="Q46" s="12"/>
      <c r="R46" s="12"/>
      <c r="S46" s="12"/>
      <c r="T46" s="16"/>
    </row>
    <row r="47" spans="1:20" x14ac:dyDescent="0.25">
      <c r="A47" s="12"/>
      <c r="B47" s="12"/>
      <c r="C47" s="12"/>
      <c r="D47" s="12"/>
      <c r="E47" s="13"/>
      <c r="F47" s="14">
        <f>IF(E47="","",E47-TODAY())</f>
      </c>
      <c r="G47" s="13"/>
      <c r="H47" s="15"/>
      <c r="I47" s="12"/>
      <c r="J47" s="12"/>
      <c r="K47" s="12"/>
      <c r="L47" s="12"/>
      <c r="M47" s="12"/>
      <c r="N47" s="12"/>
      <c r="O47" s="12"/>
      <c r="P47" s="12"/>
      <c r="Q47" s="12"/>
      <c r="R47" s="12"/>
      <c r="S47" s="12"/>
      <c r="T47" s="16"/>
    </row>
    <row r="48" spans="1:20" x14ac:dyDescent="0.25">
      <c r="A48" s="12"/>
      <c r="B48" s="12"/>
      <c r="C48" s="12"/>
      <c r="D48" s="12"/>
      <c r="E48" s="13"/>
      <c r="F48" s="14">
        <f>IF(E48="","",E48-TODAY())</f>
      </c>
      <c r="G48" s="13"/>
      <c r="H48" s="15"/>
      <c r="I48" s="12"/>
      <c r="J48" s="12"/>
      <c r="K48" s="12"/>
      <c r="L48" s="12"/>
      <c r="M48" s="12"/>
      <c r="N48" s="12"/>
      <c r="O48" s="12"/>
      <c r="P48" s="12"/>
      <c r="Q48" s="12"/>
      <c r="R48" s="12"/>
      <c r="S48" s="12"/>
      <c r="T48" s="16"/>
    </row>
    <row r="49" spans="1:20" x14ac:dyDescent="0.25">
      <c r="A49" s="12"/>
      <c r="B49" s="12"/>
      <c r="C49" s="12"/>
      <c r="D49" s="12"/>
      <c r="E49" s="13"/>
      <c r="F49" s="14">
        <f>IF(E49="","",E49-TODAY())</f>
      </c>
      <c r="G49" s="13"/>
      <c r="H49" s="15"/>
      <c r="I49" s="12"/>
      <c r="J49" s="12"/>
      <c r="K49" s="12"/>
      <c r="L49" s="12"/>
      <c r="M49" s="12"/>
      <c r="N49" s="12"/>
      <c r="O49" s="12"/>
      <c r="P49" s="12"/>
      <c r="Q49" s="12"/>
      <c r="R49" s="12"/>
      <c r="S49" s="12"/>
      <c r="T49" s="16"/>
    </row>
    <row r="50" spans="1:20" x14ac:dyDescent="0.25">
      <c r="A50" s="12"/>
      <c r="B50" s="12"/>
      <c r="C50" s="12"/>
      <c r="D50" s="12"/>
      <c r="E50" s="13"/>
      <c r="F50" s="14">
        <f>IF(E50="","",E50-TODAY())</f>
      </c>
      <c r="G50" s="13"/>
      <c r="H50" s="15"/>
      <c r="I50" s="12"/>
      <c r="J50" s="12"/>
      <c r="K50" s="12"/>
      <c r="L50" s="12"/>
      <c r="M50" s="12"/>
      <c r="N50" s="12"/>
      <c r="O50" s="12"/>
      <c r="P50" s="12"/>
      <c r="Q50" s="12"/>
      <c r="R50" s="12"/>
      <c r="S50" s="12"/>
      <c r="T50" s="16"/>
    </row>
    <row r="51" spans="1:20" x14ac:dyDescent="0.25">
      <c r="A51" s="12"/>
      <c r="B51" s="12"/>
      <c r="C51" s="12"/>
      <c r="D51" s="12"/>
      <c r="E51" s="13"/>
      <c r="F51" s="14">
        <f>IF(E51="","",E51-TODAY())</f>
      </c>
      <c r="G51" s="13"/>
      <c r="H51" s="15"/>
      <c r="I51" s="12"/>
      <c r="J51" s="12"/>
      <c r="K51" s="12"/>
      <c r="L51" s="12"/>
      <c r="M51" s="12"/>
      <c r="N51" s="12"/>
      <c r="O51" s="12"/>
      <c r="P51" s="12"/>
      <c r="Q51" s="12"/>
      <c r="R51" s="12"/>
      <c r="S51" s="12"/>
      <c r="T51" s="16"/>
    </row>
    <row r="52" spans="1:20" x14ac:dyDescent="0.25">
      <c r="A52" s="12"/>
      <c r="B52" s="12"/>
      <c r="C52" s="12"/>
      <c r="D52" s="12"/>
      <c r="E52" s="13"/>
      <c r="F52" s="14">
        <f>IF(E52="","",E52-TODAY())</f>
      </c>
      <c r="G52" s="13"/>
      <c r="H52" s="15"/>
      <c r="I52" s="12"/>
      <c r="J52" s="12"/>
      <c r="K52" s="12"/>
      <c r="L52" s="12"/>
      <c r="M52" s="12"/>
      <c r="N52" s="12"/>
      <c r="O52" s="12"/>
      <c r="P52" s="12"/>
      <c r="Q52" s="12"/>
      <c r="R52" s="12"/>
      <c r="S52" s="12"/>
      <c r="T52" s="16"/>
    </row>
    <row r="53" spans="1:20" x14ac:dyDescent="0.25">
      <c r="A53" s="12"/>
      <c r="B53" s="12"/>
      <c r="C53" s="12"/>
      <c r="D53" s="12"/>
      <c r="E53" s="13"/>
      <c r="F53" s="14">
        <f>IF(E53="","",E53-TODAY())</f>
      </c>
      <c r="G53" s="13"/>
      <c r="H53" s="15"/>
      <c r="I53" s="12"/>
      <c r="J53" s="12"/>
      <c r="K53" s="12"/>
      <c r="L53" s="12"/>
      <c r="M53" s="12"/>
      <c r="N53" s="12"/>
      <c r="O53" s="12"/>
      <c r="P53" s="12"/>
      <c r="Q53" s="12"/>
      <c r="R53" s="12"/>
      <c r="S53" s="12"/>
      <c r="T53" s="16"/>
    </row>
    <row r="54" spans="1:20" x14ac:dyDescent="0.25">
      <c r="A54" s="12"/>
      <c r="B54" s="12"/>
      <c r="C54" s="12"/>
      <c r="D54" s="12"/>
      <c r="E54" s="13"/>
      <c r="F54" s="14">
        <f>IF(E54="","",E54-TODAY())</f>
      </c>
      <c r="G54" s="13"/>
      <c r="H54" s="15"/>
      <c r="I54" s="12"/>
      <c r="J54" s="12"/>
      <c r="K54" s="12"/>
      <c r="L54" s="12"/>
      <c r="M54" s="12"/>
      <c r="N54" s="12"/>
      <c r="O54" s="12"/>
      <c r="P54" s="12"/>
      <c r="Q54" s="12"/>
      <c r="R54" s="12"/>
      <c r="S54" s="12"/>
      <c r="T54" s="16"/>
    </row>
    <row r="55" spans="1:20" x14ac:dyDescent="0.25">
      <c r="A55" s="12"/>
      <c r="B55" s="12"/>
      <c r="C55" s="12"/>
      <c r="D55" s="12"/>
      <c r="E55" s="13"/>
      <c r="F55" s="14">
        <f>IF(E55="","",E55-TODAY())</f>
      </c>
      <c r="G55" s="13"/>
      <c r="H55" s="15"/>
      <c r="I55" s="12"/>
      <c r="J55" s="12"/>
      <c r="K55" s="12"/>
      <c r="L55" s="12"/>
      <c r="M55" s="12"/>
      <c r="N55" s="12"/>
      <c r="O55" s="12"/>
      <c r="P55" s="12"/>
      <c r="Q55" s="12"/>
      <c r="R55" s="12"/>
      <c r="S55" s="12"/>
      <c r="T55" s="16"/>
    </row>
    <row r="56" spans="1:20" x14ac:dyDescent="0.25">
      <c r="A56" s="12"/>
      <c r="B56" s="12"/>
      <c r="C56" s="12"/>
      <c r="D56" s="12"/>
      <c r="E56" s="13"/>
      <c r="F56" s="14">
        <f>IF(E56="","",E56-TODAY())</f>
      </c>
      <c r="G56" s="13"/>
      <c r="H56" s="15"/>
      <c r="I56" s="12"/>
      <c r="J56" s="12"/>
      <c r="K56" s="12"/>
      <c r="L56" s="12"/>
      <c r="M56" s="12"/>
      <c r="N56" s="12"/>
      <c r="O56" s="12"/>
      <c r="P56" s="12"/>
      <c r="Q56" s="12"/>
      <c r="R56" s="12"/>
      <c r="S56" s="12"/>
      <c r="T56" s="16"/>
    </row>
    <row r="57" spans="1:20" x14ac:dyDescent="0.25">
      <c r="A57" s="12"/>
      <c r="B57" s="12"/>
      <c r="C57" s="12"/>
      <c r="D57" s="12"/>
      <c r="E57" s="13"/>
      <c r="F57" s="14">
        <f>IF(E57="","",E57-TODAY())</f>
      </c>
      <c r="G57" s="13"/>
      <c r="H57" s="15"/>
      <c r="I57" s="12"/>
      <c r="J57" s="12"/>
      <c r="K57" s="12"/>
      <c r="L57" s="12"/>
      <c r="M57" s="12"/>
      <c r="N57" s="12"/>
      <c r="O57" s="12"/>
      <c r="P57" s="12"/>
      <c r="Q57" s="12"/>
      <c r="R57" s="12"/>
      <c r="S57" s="12"/>
      <c r="T57" s="16"/>
    </row>
    <row r="58" spans="1:20" x14ac:dyDescent="0.25">
      <c r="A58" s="12"/>
      <c r="B58" s="12"/>
      <c r="C58" s="12"/>
      <c r="D58" s="12"/>
      <c r="E58" s="13"/>
      <c r="F58" s="14">
        <f>IF(E58="","",E58-TODAY())</f>
      </c>
      <c r="G58" s="13"/>
      <c r="H58" s="15"/>
      <c r="I58" s="12"/>
      <c r="J58" s="12"/>
      <c r="K58" s="12"/>
      <c r="L58" s="12"/>
      <c r="M58" s="12"/>
      <c r="N58" s="12"/>
      <c r="O58" s="12"/>
      <c r="P58" s="12"/>
      <c r="Q58" s="12"/>
      <c r="R58" s="12"/>
      <c r="S58" s="12"/>
      <c r="T58" s="16"/>
    </row>
    <row r="59" spans="1:20" x14ac:dyDescent="0.25">
      <c r="A59" s="12"/>
      <c r="B59" s="12"/>
      <c r="C59" s="12"/>
      <c r="D59" s="12"/>
      <c r="E59" s="13"/>
      <c r="F59" s="14">
        <f>IF(E59="","",E59-TODAY())</f>
      </c>
      <c r="G59" s="13"/>
      <c r="H59" s="15"/>
      <c r="I59" s="12"/>
      <c r="J59" s="12"/>
      <c r="K59" s="12"/>
      <c r="L59" s="12"/>
      <c r="M59" s="12"/>
      <c r="N59" s="12"/>
      <c r="O59" s="12"/>
      <c r="P59" s="12"/>
      <c r="Q59" s="12"/>
      <c r="R59" s="12"/>
      <c r="S59" s="12"/>
      <c r="T59" s="16"/>
    </row>
    <row r="60" spans="1:20" x14ac:dyDescent="0.25">
      <c r="A60" s="12"/>
      <c r="B60" s="12"/>
      <c r="C60" s="12"/>
      <c r="D60" s="12"/>
      <c r="E60" s="13"/>
      <c r="F60" s="14">
        <f>IF(E60="","",E60-TODAY())</f>
      </c>
      <c r="G60" s="13"/>
      <c r="H60" s="15"/>
      <c r="I60" s="12"/>
      <c r="J60" s="12"/>
      <c r="K60" s="12"/>
      <c r="L60" s="12"/>
      <c r="M60" s="12"/>
      <c r="N60" s="12"/>
      <c r="O60" s="12"/>
      <c r="P60" s="12"/>
      <c r="Q60" s="12"/>
      <c r="R60" s="12"/>
      <c r="S60" s="12"/>
      <c r="T60" s="16"/>
    </row>
    <row r="61" spans="1:20" x14ac:dyDescent="0.25">
      <c r="A61" s="12"/>
      <c r="B61" s="12"/>
      <c r="C61" s="12"/>
      <c r="D61" s="12"/>
      <c r="E61" s="13"/>
      <c r="F61" s="14">
        <f>IF(E61="","",E61-TODAY())</f>
      </c>
      <c r="G61" s="13"/>
      <c r="H61" s="15"/>
      <c r="I61" s="12"/>
      <c r="J61" s="12"/>
      <c r="K61" s="12"/>
      <c r="L61" s="12"/>
      <c r="M61" s="12"/>
      <c r="N61" s="12"/>
      <c r="O61" s="12"/>
      <c r="P61" s="12"/>
      <c r="Q61" s="12"/>
      <c r="R61" s="12"/>
      <c r="S61" s="12"/>
      <c r="T61" s="16"/>
    </row>
    <row r="62" spans="1:20" x14ac:dyDescent="0.25">
      <c r="A62" s="12"/>
      <c r="B62" s="12"/>
      <c r="C62" s="12"/>
      <c r="D62" s="12"/>
      <c r="E62" s="13"/>
      <c r="F62" s="14">
        <f>IF(E62="","",E62-TODAY())</f>
      </c>
      <c r="G62" s="13"/>
      <c r="H62" s="15"/>
      <c r="I62" s="12"/>
      <c r="J62" s="12"/>
      <c r="K62" s="12"/>
      <c r="L62" s="12"/>
      <c r="M62" s="12"/>
      <c r="N62" s="12"/>
      <c r="O62" s="12"/>
      <c r="P62" s="12"/>
      <c r="Q62" s="12"/>
      <c r="R62" s="12"/>
      <c r="S62" s="12"/>
      <c r="T62" s="16"/>
    </row>
    <row r="63" spans="1:20" x14ac:dyDescent="0.25">
      <c r="A63" s="12"/>
      <c r="B63" s="12"/>
      <c r="C63" s="12"/>
      <c r="D63" s="12"/>
      <c r="E63" s="13"/>
      <c r="F63" s="14">
        <f>IF(E63="","",E63-TODAY())</f>
      </c>
      <c r="G63" s="13"/>
      <c r="H63" s="15"/>
      <c r="I63" s="12"/>
      <c r="J63" s="12"/>
      <c r="K63" s="12"/>
      <c r="L63" s="12"/>
      <c r="M63" s="12"/>
      <c r="N63" s="12"/>
      <c r="O63" s="12"/>
      <c r="P63" s="12"/>
      <c r="Q63" s="12"/>
      <c r="R63" s="12"/>
      <c r="S63" s="12"/>
      <c r="T63" s="16"/>
    </row>
    <row r="64" spans="1:20" x14ac:dyDescent="0.25">
      <c r="A64" s="12"/>
      <c r="B64" s="12"/>
      <c r="C64" s="12"/>
      <c r="D64" s="12"/>
      <c r="E64" s="13"/>
      <c r="F64" s="14">
        <f>IF(E64="","",E64-TODAY())</f>
      </c>
      <c r="G64" s="13"/>
      <c r="H64" s="15"/>
      <c r="I64" s="12"/>
      <c r="J64" s="12"/>
      <c r="K64" s="12"/>
      <c r="L64" s="12"/>
      <c r="M64" s="12"/>
      <c r="N64" s="12"/>
      <c r="O64" s="12"/>
      <c r="P64" s="12"/>
      <c r="Q64" s="12"/>
      <c r="R64" s="12"/>
      <c r="S64" s="12"/>
      <c r="T64" s="16"/>
    </row>
    <row r="65" spans="1:20" x14ac:dyDescent="0.25">
      <c r="A65" s="12"/>
      <c r="B65" s="12"/>
      <c r="C65" s="12"/>
      <c r="D65" s="12"/>
      <c r="E65" s="13"/>
      <c r="F65" s="14">
        <f>IF(E65="","",E65-TODAY())</f>
      </c>
      <c r="G65" s="13"/>
      <c r="H65" s="15"/>
      <c r="I65" s="12"/>
      <c r="J65" s="12"/>
      <c r="K65" s="12"/>
      <c r="L65" s="12"/>
      <c r="M65" s="12"/>
      <c r="N65" s="12"/>
      <c r="O65" s="12"/>
      <c r="P65" s="12"/>
      <c r="Q65" s="12"/>
      <c r="R65" s="12"/>
      <c r="S65" s="12"/>
      <c r="T65" s="16"/>
    </row>
    <row r="66" spans="1:20" x14ac:dyDescent="0.25">
      <c r="A66" s="12"/>
      <c r="B66" s="12"/>
      <c r="C66" s="12"/>
      <c r="D66" s="12"/>
      <c r="E66" s="13"/>
      <c r="F66" s="14">
        <f>IF(E66="","",E66-TODAY())</f>
      </c>
      <c r="G66" s="13"/>
      <c r="H66" s="15"/>
      <c r="I66" s="12"/>
      <c r="J66" s="12"/>
      <c r="K66" s="12"/>
      <c r="L66" s="12"/>
      <c r="M66" s="12"/>
      <c r="N66" s="12"/>
      <c r="O66" s="12"/>
      <c r="P66" s="12"/>
      <c r="Q66" s="12"/>
      <c r="R66" s="12"/>
      <c r="S66" s="12"/>
      <c r="T66" s="16"/>
    </row>
    <row r="67" spans="1:20" x14ac:dyDescent="0.25">
      <c r="A67" s="12"/>
      <c r="B67" s="12"/>
      <c r="C67" s="12"/>
      <c r="D67" s="12"/>
      <c r="E67" s="13"/>
      <c r="F67" s="14">
        <f>IF(E67="","",E67-TODAY())</f>
      </c>
      <c r="G67" s="13"/>
      <c r="H67" s="15"/>
      <c r="I67" s="12"/>
      <c r="J67" s="12"/>
      <c r="K67" s="12"/>
      <c r="L67" s="12"/>
      <c r="M67" s="12"/>
      <c r="N67" s="12"/>
      <c r="O67" s="12"/>
      <c r="P67" s="12"/>
      <c r="Q67" s="12"/>
      <c r="R67" s="12"/>
      <c r="S67" s="12"/>
      <c r="T67" s="16"/>
    </row>
    <row r="68" spans="1:20" x14ac:dyDescent="0.25">
      <c r="A68" s="12"/>
      <c r="B68" s="12"/>
      <c r="C68" s="12"/>
      <c r="D68" s="12"/>
      <c r="E68" s="13"/>
      <c r="F68" s="14">
        <f>IF(E68="","",E68-TODAY())</f>
      </c>
      <c r="G68" s="13"/>
      <c r="H68" s="15"/>
      <c r="I68" s="12"/>
      <c r="J68" s="12"/>
      <c r="K68" s="12"/>
      <c r="L68" s="12"/>
      <c r="M68" s="12"/>
      <c r="N68" s="12"/>
      <c r="O68" s="12"/>
      <c r="P68" s="12"/>
      <c r="Q68" s="12"/>
      <c r="R68" s="12"/>
      <c r="S68" s="12"/>
      <c r="T68" s="16"/>
    </row>
    <row r="69" spans="1:20" x14ac:dyDescent="0.25">
      <c r="A69" s="12"/>
      <c r="B69" s="12"/>
      <c r="C69" s="12"/>
      <c r="D69" s="12"/>
      <c r="E69" s="13"/>
      <c r="F69" s="14">
        <f>IF(E69="","",E69-TODAY())</f>
      </c>
      <c r="G69" s="13"/>
      <c r="H69" s="15"/>
      <c r="I69" s="12"/>
      <c r="J69" s="12"/>
      <c r="K69" s="12"/>
      <c r="L69" s="12"/>
      <c r="M69" s="12"/>
      <c r="N69" s="12"/>
      <c r="O69" s="12"/>
      <c r="P69" s="12"/>
      <c r="Q69" s="12"/>
      <c r="R69" s="12"/>
      <c r="S69" s="12"/>
      <c r="T69" s="16"/>
    </row>
    <row r="70" spans="1:20" x14ac:dyDescent="0.25">
      <c r="A70" s="12"/>
      <c r="B70" s="12"/>
      <c r="C70" s="12"/>
      <c r="D70" s="12"/>
      <c r="E70" s="13"/>
      <c r="F70" s="14">
        <f>IF(E70="","",E70-TODAY())</f>
      </c>
      <c r="G70" s="13"/>
      <c r="H70" s="15"/>
      <c r="I70" s="12"/>
      <c r="J70" s="12"/>
      <c r="K70" s="12"/>
      <c r="L70" s="12"/>
      <c r="M70" s="12"/>
      <c r="N70" s="12"/>
      <c r="O70" s="12"/>
      <c r="P70" s="12"/>
      <c r="Q70" s="12"/>
      <c r="R70" s="12"/>
      <c r="S70" s="12"/>
      <c r="T70" s="16"/>
    </row>
    <row r="71" spans="1:20" x14ac:dyDescent="0.25">
      <c r="A71" s="12"/>
      <c r="B71" s="12"/>
      <c r="C71" s="12"/>
      <c r="D71" s="12"/>
      <c r="E71" s="13"/>
      <c r="F71" s="14">
        <f>IF(E71="","",E71-TODAY())</f>
      </c>
      <c r="G71" s="13"/>
      <c r="H71" s="15"/>
      <c r="I71" s="12"/>
      <c r="J71" s="12"/>
      <c r="K71" s="12"/>
      <c r="L71" s="12"/>
      <c r="M71" s="12"/>
      <c r="N71" s="12"/>
      <c r="O71" s="12"/>
      <c r="P71" s="12"/>
      <c r="Q71" s="12"/>
      <c r="R71" s="12"/>
      <c r="S71" s="12"/>
      <c r="T71" s="16"/>
    </row>
    <row r="72" spans="1:20" x14ac:dyDescent="0.25">
      <c r="A72" s="12"/>
      <c r="B72" s="12"/>
      <c r="C72" s="12"/>
      <c r="D72" s="12"/>
      <c r="E72" s="13"/>
      <c r="F72" s="14">
        <f>IF(E72="","",E72-TODAY())</f>
      </c>
      <c r="G72" s="13"/>
      <c r="H72" s="15"/>
      <c r="I72" s="12"/>
      <c r="J72" s="12"/>
      <c r="K72" s="12"/>
      <c r="L72" s="12"/>
      <c r="M72" s="12"/>
      <c r="N72" s="12"/>
      <c r="O72" s="12"/>
      <c r="P72" s="12"/>
      <c r="Q72" s="12"/>
      <c r="R72" s="12"/>
      <c r="S72" s="12"/>
      <c r="T72" s="16"/>
    </row>
    <row r="73" spans="1:20" x14ac:dyDescent="0.25">
      <c r="A73" s="12"/>
      <c r="B73" s="12"/>
      <c r="C73" s="12"/>
      <c r="D73" s="12"/>
      <c r="E73" s="13"/>
      <c r="F73" s="14">
        <f>IF(E73="","",E73-TODAY())</f>
      </c>
      <c r="G73" s="13"/>
      <c r="H73" s="15"/>
      <c r="I73" s="12"/>
      <c r="J73" s="12"/>
      <c r="K73" s="12"/>
      <c r="L73" s="12"/>
      <c r="M73" s="12"/>
      <c r="N73" s="12"/>
      <c r="O73" s="12"/>
      <c r="P73" s="12"/>
      <c r="Q73" s="12"/>
      <c r="R73" s="12"/>
      <c r="S73" s="12"/>
      <c r="T73" s="16"/>
    </row>
    <row r="74" spans="1:20" x14ac:dyDescent="0.25">
      <c r="A74" s="12"/>
      <c r="B74" s="12"/>
      <c r="C74" s="12"/>
      <c r="D74" s="12"/>
      <c r="E74" s="13"/>
      <c r="F74" s="14">
        <f>IF(E74="","",E74-TODAY())</f>
      </c>
      <c r="G74" s="13"/>
      <c r="H74" s="15"/>
      <c r="I74" s="12"/>
      <c r="J74" s="12"/>
      <c r="K74" s="12"/>
      <c r="L74" s="12"/>
      <c r="M74" s="12"/>
      <c r="N74" s="12"/>
      <c r="O74" s="12"/>
      <c r="P74" s="12"/>
      <c r="Q74" s="12"/>
      <c r="R74" s="12"/>
      <c r="S74" s="12"/>
      <c r="T74" s="16"/>
    </row>
    <row r="75" spans="1:20" x14ac:dyDescent="0.25">
      <c r="A75" s="12"/>
      <c r="B75" s="12"/>
      <c r="C75" s="12"/>
      <c r="D75" s="12"/>
      <c r="E75" s="13"/>
      <c r="F75" s="14">
        <f>IF(E75="","",E75-TODAY())</f>
      </c>
      <c r="G75" s="13"/>
      <c r="H75" s="15"/>
      <c r="I75" s="12"/>
      <c r="J75" s="12"/>
      <c r="K75" s="12"/>
      <c r="L75" s="12"/>
      <c r="M75" s="12"/>
      <c r="N75" s="12"/>
      <c r="O75" s="12"/>
      <c r="P75" s="12"/>
      <c r="Q75" s="12"/>
      <c r="R75" s="12"/>
      <c r="S75" s="12"/>
      <c r="T75" s="16"/>
    </row>
    <row r="76" spans="1:20" x14ac:dyDescent="0.25">
      <c r="A76" s="12"/>
      <c r="B76" s="12"/>
      <c r="C76" s="12"/>
      <c r="D76" s="12"/>
      <c r="E76" s="13"/>
      <c r="F76" s="14">
        <f>IF(E76="","",E76-TODAY())</f>
      </c>
      <c r="G76" s="13"/>
      <c r="H76" s="15"/>
      <c r="I76" s="12"/>
      <c r="J76" s="12"/>
      <c r="K76" s="12"/>
      <c r="L76" s="12"/>
      <c r="M76" s="12"/>
      <c r="N76" s="12"/>
      <c r="O76" s="12"/>
      <c r="P76" s="12"/>
      <c r="Q76" s="12"/>
      <c r="R76" s="12"/>
      <c r="S76" s="12"/>
      <c r="T76" s="16"/>
    </row>
    <row r="77" spans="1:20" x14ac:dyDescent="0.25">
      <c r="A77" s="12"/>
      <c r="B77" s="12"/>
      <c r="C77" s="12"/>
      <c r="D77" s="12"/>
      <c r="E77" s="13"/>
      <c r="F77" s="14">
        <f>IF(E77="","",E77-TODAY())</f>
      </c>
      <c r="G77" s="13"/>
      <c r="H77" s="15"/>
      <c r="I77" s="12"/>
      <c r="J77" s="12"/>
      <c r="K77" s="12"/>
      <c r="L77" s="12"/>
      <c r="M77" s="12"/>
      <c r="N77" s="12"/>
      <c r="O77" s="12"/>
      <c r="P77" s="12"/>
      <c r="Q77" s="12"/>
      <c r="R77" s="12"/>
      <c r="S77" s="12"/>
      <c r="T77" s="16"/>
    </row>
    <row r="78" spans="1:20" x14ac:dyDescent="0.25">
      <c r="A78" s="12"/>
      <c r="B78" s="12"/>
      <c r="C78" s="12"/>
      <c r="D78" s="12"/>
      <c r="E78" s="13"/>
      <c r="F78" s="14">
        <f>IF(E78="","",E78-TODAY())</f>
      </c>
      <c r="G78" s="13"/>
      <c r="H78" s="15"/>
      <c r="I78" s="12"/>
      <c r="J78" s="12"/>
      <c r="K78" s="12"/>
      <c r="L78" s="12"/>
      <c r="M78" s="12"/>
      <c r="N78" s="12"/>
      <c r="O78" s="12"/>
      <c r="P78" s="12"/>
      <c r="Q78" s="12"/>
      <c r="R78" s="12"/>
      <c r="S78" s="12"/>
      <c r="T78" s="16"/>
    </row>
    <row r="79" spans="1:20" x14ac:dyDescent="0.25">
      <c r="A79" s="12"/>
      <c r="B79" s="12"/>
      <c r="C79" s="12"/>
      <c r="D79" s="12"/>
      <c r="E79" s="13"/>
      <c r="F79" s="14">
        <f>IF(E79="","",E79-TODAY())</f>
      </c>
      <c r="G79" s="13"/>
      <c r="H79" s="15"/>
      <c r="I79" s="12"/>
      <c r="J79" s="12"/>
      <c r="K79" s="12"/>
      <c r="L79" s="12"/>
      <c r="M79" s="12"/>
      <c r="N79" s="12"/>
      <c r="O79" s="12"/>
      <c r="P79" s="12"/>
      <c r="Q79" s="12"/>
      <c r="R79" s="12"/>
      <c r="S79" s="12"/>
      <c r="T79" s="16"/>
    </row>
    <row r="80" spans="1:20" x14ac:dyDescent="0.25">
      <c r="A80" s="12"/>
      <c r="B80" s="12"/>
      <c r="C80" s="12"/>
      <c r="D80" s="12"/>
      <c r="E80" s="13"/>
      <c r="F80" s="14">
        <f>IF(E80="","",E80-TODAY())</f>
      </c>
      <c r="G80" s="13"/>
      <c r="H80" s="15"/>
      <c r="I80" s="12"/>
      <c r="J80" s="12"/>
      <c r="K80" s="12"/>
      <c r="L80" s="12"/>
      <c r="M80" s="12"/>
      <c r="N80" s="12"/>
      <c r="O80" s="12"/>
      <c r="P80" s="12"/>
      <c r="Q80" s="12"/>
      <c r="R80" s="12"/>
      <c r="S80" s="12"/>
      <c r="T80" s="16"/>
    </row>
    <row r="81" spans="1:20" x14ac:dyDescent="0.25">
      <c r="A81" s="12"/>
      <c r="B81" s="12"/>
      <c r="C81" s="12"/>
      <c r="D81" s="12"/>
      <c r="E81" s="13"/>
      <c r="F81" s="14">
        <f>IF(E81="","",E81-TODAY())</f>
      </c>
      <c r="G81" s="13"/>
      <c r="H81" s="15"/>
      <c r="I81" s="12"/>
      <c r="J81" s="12"/>
      <c r="K81" s="12"/>
      <c r="L81" s="12"/>
      <c r="M81" s="12"/>
      <c r="N81" s="12"/>
      <c r="O81" s="12"/>
      <c r="P81" s="12"/>
      <c r="Q81" s="12"/>
      <c r="R81" s="12"/>
      <c r="S81" s="12"/>
      <c r="T81" s="16"/>
    </row>
    <row r="82" spans="1:20" x14ac:dyDescent="0.25">
      <c r="A82" s="12"/>
      <c r="B82" s="12"/>
      <c r="C82" s="12"/>
      <c r="D82" s="12"/>
      <c r="E82" s="13"/>
      <c r="F82" s="14">
        <f>IF(E82="","",E82-TODAY())</f>
      </c>
      <c r="G82" s="13"/>
      <c r="H82" s="15"/>
      <c r="I82" s="12"/>
      <c r="J82" s="12"/>
      <c r="K82" s="12"/>
      <c r="L82" s="12"/>
      <c r="M82" s="12"/>
      <c r="N82" s="12"/>
      <c r="O82" s="12"/>
      <c r="P82" s="12"/>
      <c r="Q82" s="12"/>
      <c r="R82" s="12"/>
      <c r="S82" s="12"/>
      <c r="T82" s="16"/>
    </row>
    <row r="83" spans="1:20" x14ac:dyDescent="0.25">
      <c r="A83" s="12"/>
      <c r="B83" s="12"/>
      <c r="C83" s="12"/>
      <c r="D83" s="12"/>
      <c r="E83" s="13"/>
      <c r="F83" s="14">
        <f>IF(E83="","",E83-TODAY())</f>
      </c>
      <c r="G83" s="13"/>
      <c r="H83" s="15"/>
      <c r="I83" s="12"/>
      <c r="J83" s="12"/>
      <c r="K83" s="12"/>
      <c r="L83" s="12"/>
      <c r="M83" s="12"/>
      <c r="N83" s="12"/>
      <c r="O83" s="12"/>
      <c r="P83" s="12"/>
      <c r="Q83" s="12"/>
      <c r="R83" s="12"/>
      <c r="S83" s="12"/>
      <c r="T83" s="16"/>
    </row>
    <row r="84" spans="1:20" x14ac:dyDescent="0.25">
      <c r="A84" s="12"/>
      <c r="B84" s="12"/>
      <c r="C84" s="12"/>
      <c r="D84" s="12"/>
      <c r="E84" s="13"/>
      <c r="F84" s="14">
        <f>IF(E84="","",E84-TODAY())</f>
      </c>
      <c r="G84" s="13"/>
      <c r="H84" s="15"/>
      <c r="I84" s="12"/>
      <c r="J84" s="12"/>
      <c r="K84" s="12"/>
      <c r="L84" s="12"/>
      <c r="M84" s="12"/>
      <c r="N84" s="12"/>
      <c r="O84" s="12"/>
      <c r="P84" s="12"/>
      <c r="Q84" s="12"/>
      <c r="R84" s="12"/>
      <c r="S84" s="12"/>
      <c r="T84" s="16"/>
    </row>
    <row r="85" spans="1:20" x14ac:dyDescent="0.25">
      <c r="A85" s="12"/>
      <c r="B85" s="12"/>
      <c r="C85" s="12"/>
      <c r="D85" s="12"/>
      <c r="E85" s="13"/>
      <c r="F85" s="14">
        <f>IF(E85="","",E85-TODAY())</f>
      </c>
      <c r="G85" s="13"/>
      <c r="H85" s="15"/>
      <c r="I85" s="12"/>
      <c r="J85" s="12"/>
      <c r="K85" s="12"/>
      <c r="L85" s="12"/>
      <c r="M85" s="12"/>
      <c r="N85" s="12"/>
      <c r="O85" s="12"/>
      <c r="P85" s="12"/>
      <c r="Q85" s="12"/>
      <c r="R85" s="12"/>
      <c r="S85" s="12"/>
      <c r="T85" s="16"/>
    </row>
    <row r="86" spans="1:20" x14ac:dyDescent="0.25">
      <c r="A86" s="12"/>
      <c r="B86" s="12"/>
      <c r="C86" s="12"/>
      <c r="D86" s="12"/>
      <c r="E86" s="13"/>
      <c r="F86" s="14">
        <f>IF(E86="","",E86-TODAY())</f>
      </c>
      <c r="G86" s="13"/>
      <c r="H86" s="15"/>
      <c r="I86" s="12"/>
      <c r="J86" s="12"/>
      <c r="K86" s="12"/>
      <c r="L86" s="12"/>
      <c r="M86" s="12"/>
      <c r="N86" s="12"/>
      <c r="O86" s="12"/>
      <c r="P86" s="12"/>
      <c r="Q86" s="12"/>
      <c r="R86" s="12"/>
      <c r="S86" s="12"/>
      <c r="T86" s="16"/>
    </row>
    <row r="87" spans="1:20" x14ac:dyDescent="0.25">
      <c r="A87" s="12"/>
      <c r="B87" s="12"/>
      <c r="C87" s="12"/>
      <c r="D87" s="12"/>
      <c r="E87" s="13"/>
      <c r="F87" s="14">
        <f>IF(E87="","",E87-TODAY())</f>
      </c>
      <c r="G87" s="13"/>
      <c r="H87" s="15"/>
      <c r="I87" s="12"/>
      <c r="J87" s="12"/>
      <c r="K87" s="12"/>
      <c r="L87" s="12"/>
      <c r="M87" s="12"/>
      <c r="N87" s="12"/>
      <c r="O87" s="12"/>
      <c r="P87" s="12"/>
      <c r="Q87" s="12"/>
      <c r="R87" s="12"/>
      <c r="S87" s="12"/>
      <c r="T87" s="16"/>
    </row>
    <row r="88" spans="1:20" x14ac:dyDescent="0.25">
      <c r="A88" s="12"/>
      <c r="B88" s="12"/>
      <c r="C88" s="12"/>
      <c r="D88" s="12"/>
      <c r="E88" s="13"/>
      <c r="F88" s="14">
        <f>IF(E88="","",E88-TODAY())</f>
      </c>
      <c r="G88" s="13"/>
      <c r="H88" s="15"/>
      <c r="I88" s="12"/>
      <c r="J88" s="12"/>
      <c r="K88" s="12"/>
      <c r="L88" s="12"/>
      <c r="M88" s="12"/>
      <c r="N88" s="12"/>
      <c r="O88" s="12"/>
      <c r="P88" s="12"/>
      <c r="Q88" s="12"/>
      <c r="R88" s="12"/>
      <c r="S88" s="12"/>
      <c r="T88" s="16"/>
    </row>
    <row r="89" spans="1:20" x14ac:dyDescent="0.25">
      <c r="A89" s="12"/>
      <c r="B89" s="12"/>
      <c r="C89" s="12"/>
      <c r="D89" s="12"/>
      <c r="E89" s="13"/>
      <c r="F89" s="14">
        <f>IF(E89="","",E89-TODAY())</f>
      </c>
      <c r="G89" s="13"/>
      <c r="H89" s="15"/>
      <c r="I89" s="12"/>
      <c r="J89" s="12"/>
      <c r="K89" s="12"/>
      <c r="L89" s="12"/>
      <c r="M89" s="12"/>
      <c r="N89" s="12"/>
      <c r="O89" s="12"/>
      <c r="P89" s="12"/>
      <c r="Q89" s="12"/>
      <c r="R89" s="12"/>
      <c r="S89" s="12"/>
      <c r="T89" s="16"/>
    </row>
    <row r="90" spans="1:20" x14ac:dyDescent="0.25">
      <c r="A90" s="12"/>
      <c r="B90" s="12"/>
      <c r="C90" s="12"/>
      <c r="D90" s="12"/>
      <c r="E90" s="13"/>
      <c r="F90" s="14">
        <f>IF(E90="","",E90-TODAY())</f>
      </c>
      <c r="G90" s="13"/>
      <c r="H90" s="15"/>
      <c r="I90" s="12"/>
      <c r="J90" s="12"/>
      <c r="K90" s="12"/>
      <c r="L90" s="12"/>
      <c r="M90" s="12"/>
      <c r="N90" s="12"/>
      <c r="O90" s="12"/>
      <c r="P90" s="12"/>
      <c r="Q90" s="12"/>
      <c r="R90" s="12"/>
      <c r="S90" s="12"/>
      <c r="T90" s="16"/>
    </row>
    <row r="91" spans="1:20" x14ac:dyDescent="0.25">
      <c r="A91" s="12"/>
      <c r="B91" s="12"/>
      <c r="C91" s="12"/>
      <c r="D91" s="12"/>
      <c r="E91" s="13"/>
      <c r="F91" s="14">
        <f>IF(E91="","",E91-TODAY())</f>
      </c>
      <c r="G91" s="13"/>
      <c r="H91" s="15"/>
      <c r="I91" s="12"/>
      <c r="J91" s="12"/>
      <c r="K91" s="12"/>
      <c r="L91" s="12"/>
      <c r="M91" s="12"/>
      <c r="N91" s="12"/>
      <c r="O91" s="12"/>
      <c r="P91" s="12"/>
      <c r="Q91" s="12"/>
      <c r="R91" s="12"/>
      <c r="S91" s="12"/>
      <c r="T91" s="16"/>
    </row>
    <row r="92" spans="1:20" x14ac:dyDescent="0.25">
      <c r="A92" s="12"/>
      <c r="B92" s="12"/>
      <c r="C92" s="12"/>
      <c r="D92" s="12"/>
      <c r="E92" s="13"/>
      <c r="F92" s="14">
        <f>IF(E92="","",E92-TODAY())</f>
      </c>
      <c r="G92" s="13"/>
      <c r="H92" s="15"/>
      <c r="I92" s="12"/>
      <c r="J92" s="12"/>
      <c r="K92" s="12"/>
      <c r="L92" s="12"/>
      <c r="M92" s="12"/>
      <c r="N92" s="12"/>
      <c r="O92" s="12"/>
      <c r="P92" s="12"/>
      <c r="Q92" s="12"/>
      <c r="R92" s="12"/>
      <c r="S92" s="12"/>
      <c r="T92" s="16"/>
    </row>
    <row r="93" spans="1:20" x14ac:dyDescent="0.25">
      <c r="A93" s="12"/>
      <c r="B93" s="12"/>
      <c r="C93" s="12"/>
      <c r="D93" s="12"/>
      <c r="E93" s="13"/>
      <c r="F93" s="14">
        <f>IF(E93="","",E93-TODAY())</f>
      </c>
      <c r="G93" s="13"/>
      <c r="H93" s="15"/>
      <c r="I93" s="12"/>
      <c r="J93" s="12"/>
      <c r="K93" s="12"/>
      <c r="L93" s="12"/>
      <c r="M93" s="12"/>
      <c r="N93" s="12"/>
      <c r="O93" s="12"/>
      <c r="P93" s="12"/>
      <c r="Q93" s="12"/>
      <c r="R93" s="12"/>
      <c r="S93" s="12"/>
      <c r="T93" s="16"/>
    </row>
    <row r="94" spans="1:20" x14ac:dyDescent="0.25">
      <c r="A94" s="12"/>
      <c r="B94" s="12"/>
      <c r="C94" s="12"/>
      <c r="D94" s="12"/>
      <c r="E94" s="13"/>
      <c r="F94" s="14">
        <f>IF(E94="","",E94-TODAY())</f>
      </c>
      <c r="G94" s="13"/>
      <c r="H94" s="15"/>
      <c r="I94" s="12"/>
      <c r="J94" s="12"/>
      <c r="K94" s="12"/>
      <c r="L94" s="12"/>
      <c r="M94" s="12"/>
      <c r="N94" s="12"/>
      <c r="O94" s="12"/>
      <c r="P94" s="12"/>
      <c r="Q94" s="12"/>
      <c r="R94" s="12"/>
      <c r="S94" s="12"/>
      <c r="T94" s="16"/>
    </row>
    <row r="95" spans="1:20" x14ac:dyDescent="0.25">
      <c r="A95" s="12"/>
      <c r="B95" s="12"/>
      <c r="C95" s="12"/>
      <c r="D95" s="12"/>
      <c r="E95" s="13"/>
      <c r="F95" s="14">
        <f>IF(E95="","",E95-TODAY())</f>
      </c>
      <c r="G95" s="13"/>
      <c r="H95" s="15"/>
      <c r="I95" s="12"/>
      <c r="J95" s="12"/>
      <c r="K95" s="12"/>
      <c r="L95" s="12"/>
      <c r="M95" s="12"/>
      <c r="N95" s="12"/>
      <c r="O95" s="12"/>
      <c r="P95" s="12"/>
      <c r="Q95" s="12"/>
      <c r="R95" s="12"/>
      <c r="S95" s="12"/>
      <c r="T95" s="16"/>
    </row>
    <row r="96" spans="1:20" x14ac:dyDescent="0.25">
      <c r="A96" s="12"/>
      <c r="B96" s="12"/>
      <c r="C96" s="12"/>
      <c r="D96" s="12"/>
      <c r="E96" s="13"/>
      <c r="F96" s="14">
        <f>IF(E96="","",E96-TODAY())</f>
      </c>
      <c r="G96" s="13"/>
      <c r="H96" s="15"/>
      <c r="I96" s="12"/>
      <c r="J96" s="12"/>
      <c r="K96" s="12"/>
      <c r="L96" s="12"/>
      <c r="M96" s="12"/>
      <c r="N96" s="12"/>
      <c r="O96" s="12"/>
      <c r="P96" s="12"/>
      <c r="Q96" s="12"/>
      <c r="R96" s="12"/>
      <c r="S96" s="12"/>
      <c r="T96" s="16"/>
    </row>
    <row r="97" spans="1:20" x14ac:dyDescent="0.25">
      <c r="A97" s="12"/>
      <c r="B97" s="12"/>
      <c r="C97" s="12"/>
      <c r="D97" s="12"/>
      <c r="E97" s="13"/>
      <c r="F97" s="14">
        <f>IF(E97="","",E97-TODAY())</f>
      </c>
      <c r="G97" s="13"/>
      <c r="H97" s="15"/>
      <c r="I97" s="12"/>
      <c r="J97" s="12"/>
      <c r="K97" s="12"/>
      <c r="L97" s="12"/>
      <c r="M97" s="12"/>
      <c r="N97" s="12"/>
      <c r="O97" s="12"/>
      <c r="P97" s="12"/>
      <c r="Q97" s="12"/>
      <c r="R97" s="12"/>
      <c r="S97" s="12"/>
      <c r="T97" s="16"/>
    </row>
    <row r="98" spans="1:20" x14ac:dyDescent="0.25">
      <c r="A98" s="12"/>
      <c r="B98" s="12"/>
      <c r="C98" s="12"/>
      <c r="D98" s="12"/>
      <c r="E98" s="13"/>
      <c r="F98" s="14">
        <f>IF(E98="","",E98-TODAY())</f>
      </c>
      <c r="G98" s="13"/>
      <c r="H98" s="15"/>
      <c r="I98" s="12"/>
      <c r="J98" s="12"/>
      <c r="K98" s="12"/>
      <c r="L98" s="12"/>
      <c r="M98" s="12"/>
      <c r="N98" s="12"/>
      <c r="O98" s="12"/>
      <c r="P98" s="12"/>
      <c r="Q98" s="12"/>
      <c r="R98" s="12"/>
      <c r="S98" s="12"/>
      <c r="T98" s="16"/>
    </row>
    <row r="99" spans="1:20" x14ac:dyDescent="0.25">
      <c r="A99" s="12"/>
      <c r="B99" s="12"/>
      <c r="C99" s="12"/>
      <c r="D99" s="12"/>
      <c r="E99" s="13"/>
      <c r="F99" s="14">
        <f>IF(E99="","",E99-TODAY())</f>
      </c>
      <c r="G99" s="13"/>
      <c r="H99" s="15"/>
      <c r="I99" s="12"/>
      <c r="J99" s="12"/>
      <c r="K99" s="12"/>
      <c r="L99" s="12"/>
      <c r="M99" s="12"/>
      <c r="N99" s="12"/>
      <c r="O99" s="12"/>
      <c r="P99" s="12"/>
      <c r="Q99" s="12"/>
      <c r="R99" s="12"/>
      <c r="S99" s="12"/>
      <c r="T99" s="16"/>
    </row>
    <row r="100" spans="1:20" x14ac:dyDescent="0.25">
      <c r="A100" s="12"/>
      <c r="B100" s="12"/>
      <c r="C100" s="12"/>
      <c r="D100" s="12"/>
      <c r="E100" s="13"/>
      <c r="F100" s="14">
        <f>IF(E100="","",E100-TODAY())</f>
      </c>
      <c r="G100" s="13"/>
      <c r="H100" s="15"/>
      <c r="I100" s="12"/>
      <c r="J100" s="12"/>
      <c r="K100" s="12"/>
      <c r="L100" s="12"/>
      <c r="M100" s="12"/>
      <c r="N100" s="12"/>
      <c r="O100" s="12"/>
      <c r="P100" s="12"/>
      <c r="Q100" s="12"/>
      <c r="R100" s="12"/>
      <c r="S100" s="12"/>
      <c r="T100" s="16"/>
    </row>
    <row r="101" spans="1:20" x14ac:dyDescent="0.25">
      <c r="A101" s="12"/>
      <c r="B101" s="12"/>
      <c r="C101" s="12"/>
      <c r="D101" s="12"/>
      <c r="E101" s="13"/>
      <c r="F101" s="14">
        <f>IF(E101="","",E101-TODAY())</f>
      </c>
      <c r="G101" s="13"/>
      <c r="H101" s="15"/>
      <c r="I101" s="12"/>
      <c r="J101" s="12"/>
      <c r="K101" s="12"/>
      <c r="L101" s="12"/>
      <c r="M101" s="12"/>
      <c r="N101" s="12"/>
      <c r="O101" s="12"/>
      <c r="P101" s="12"/>
      <c r="Q101" s="12"/>
      <c r="R101" s="12"/>
      <c r="S101" s="12"/>
      <c r="T101" s="16"/>
    </row>
    <row r="102" spans="1:20" x14ac:dyDescent="0.25">
      <c r="A102" s="12"/>
      <c r="B102" s="12"/>
      <c r="C102" s="12"/>
      <c r="D102" s="12"/>
      <c r="E102" s="13"/>
      <c r="F102" s="14">
        <f>IF(E102="","",E102-TODAY())</f>
      </c>
      <c r="G102" s="13"/>
      <c r="H102" s="15"/>
      <c r="I102" s="12"/>
      <c r="J102" s="12"/>
      <c r="K102" s="12"/>
      <c r="L102" s="12"/>
      <c r="M102" s="12"/>
      <c r="N102" s="12"/>
      <c r="O102" s="12"/>
      <c r="P102" s="12"/>
      <c r="Q102" s="12"/>
      <c r="R102" s="12"/>
      <c r="S102" s="12"/>
      <c r="T102" s="16"/>
    </row>
    <row r="103" spans="1:20" x14ac:dyDescent="0.25">
      <c r="A103" s="12"/>
      <c r="B103" s="12"/>
      <c r="C103" s="12"/>
      <c r="D103" s="12"/>
      <c r="E103" s="13"/>
      <c r="F103" s="14">
        <f>IF(E103="","",E103-TODAY())</f>
      </c>
      <c r="G103" s="13"/>
      <c r="H103" s="15"/>
      <c r="I103" s="12"/>
      <c r="J103" s="12"/>
      <c r="K103" s="12"/>
      <c r="L103" s="12"/>
      <c r="M103" s="12"/>
      <c r="N103" s="12"/>
      <c r="O103" s="12"/>
      <c r="P103" s="12"/>
      <c r="Q103" s="12"/>
      <c r="R103" s="12"/>
      <c r="S103" s="12"/>
      <c r="T103" s="16"/>
    </row>
    <row r="104" spans="1:20" x14ac:dyDescent="0.25">
      <c r="A104" s="12"/>
      <c r="B104" s="12"/>
      <c r="C104" s="12"/>
      <c r="D104" s="12"/>
      <c r="E104" s="13"/>
      <c r="F104" s="14">
        <f>IF(E104="","",E104-TODAY())</f>
      </c>
      <c r="G104" s="13"/>
      <c r="H104" s="15"/>
      <c r="I104" s="12"/>
      <c r="J104" s="12"/>
      <c r="K104" s="12"/>
      <c r="L104" s="12"/>
      <c r="M104" s="12"/>
      <c r="N104" s="12"/>
      <c r="O104" s="12"/>
      <c r="P104" s="12"/>
      <c r="Q104" s="12"/>
      <c r="R104" s="12"/>
      <c r="S104" s="12"/>
      <c r="T104" s="16"/>
    </row>
    <row r="105" spans="1:20" x14ac:dyDescent="0.25">
      <c r="A105" s="12"/>
      <c r="B105" s="12"/>
      <c r="C105" s="12"/>
      <c r="D105" s="12"/>
      <c r="E105" s="13"/>
      <c r="F105" s="14">
        <f>IF(E105="","",E105-TODAY())</f>
      </c>
      <c r="G105" s="13"/>
      <c r="H105" s="15"/>
      <c r="I105" s="12"/>
      <c r="J105" s="12"/>
      <c r="K105" s="12"/>
      <c r="L105" s="12"/>
      <c r="M105" s="12"/>
      <c r="N105" s="12"/>
      <c r="O105" s="12"/>
      <c r="P105" s="12"/>
      <c r="Q105" s="12"/>
      <c r="R105" s="12"/>
      <c r="S105" s="12"/>
      <c r="T105" s="16"/>
    </row>
    <row r="106" spans="1:20" x14ac:dyDescent="0.25">
      <c r="A106" s="12"/>
      <c r="B106" s="12"/>
      <c r="C106" s="12"/>
      <c r="D106" s="12"/>
      <c r="E106" s="13"/>
      <c r="F106" s="14">
        <f>IF(E106="","",E106-TODAY())</f>
      </c>
      <c r="G106" s="13"/>
      <c r="H106" s="15"/>
      <c r="I106" s="12"/>
      <c r="J106" s="12"/>
      <c r="K106" s="12"/>
      <c r="L106" s="12"/>
      <c r="M106" s="12"/>
      <c r="N106" s="12"/>
      <c r="O106" s="12"/>
      <c r="P106" s="12"/>
      <c r="Q106" s="12"/>
      <c r="R106" s="12"/>
      <c r="S106" s="12"/>
      <c r="T106" s="16"/>
    </row>
    <row r="107" spans="1:20" x14ac:dyDescent="0.25">
      <c r="A107" s="12"/>
      <c r="B107" s="12"/>
      <c r="C107" s="12"/>
      <c r="D107" s="12"/>
      <c r="E107" s="13"/>
      <c r="F107" s="14">
        <f>IF(E107="","",E107-TODAY())</f>
      </c>
      <c r="G107" s="13"/>
      <c r="H107" s="15"/>
      <c r="I107" s="12"/>
      <c r="J107" s="12"/>
      <c r="K107" s="12"/>
      <c r="L107" s="12"/>
      <c r="M107" s="12"/>
      <c r="N107" s="12"/>
      <c r="O107" s="12"/>
      <c r="P107" s="12"/>
      <c r="Q107" s="12"/>
      <c r="R107" s="12"/>
      <c r="S107" s="12"/>
      <c r="T107" s="16"/>
    </row>
    <row r="108" spans="1:20" x14ac:dyDescent="0.25">
      <c r="A108" s="12"/>
      <c r="B108" s="12"/>
      <c r="C108" s="12"/>
      <c r="D108" s="12"/>
      <c r="E108" s="13"/>
      <c r="F108" s="14">
        <f>IF(E108="","",E108-TODAY())</f>
      </c>
      <c r="G108" s="13"/>
      <c r="H108" s="15"/>
      <c r="I108" s="12"/>
      <c r="J108" s="12"/>
      <c r="K108" s="12"/>
      <c r="L108" s="12"/>
      <c r="M108" s="12"/>
      <c r="N108" s="12"/>
      <c r="O108" s="12"/>
      <c r="P108" s="12"/>
      <c r="Q108" s="12"/>
      <c r="R108" s="12"/>
      <c r="S108" s="12"/>
      <c r="T108" s="16"/>
    </row>
    <row r="109" spans="1:20" x14ac:dyDescent="0.25">
      <c r="A109" s="12"/>
      <c r="B109" s="12"/>
      <c r="C109" s="12"/>
      <c r="D109" s="12"/>
      <c r="E109" s="13"/>
      <c r="F109" s="14">
        <f>IF(E109="","",E109-TODAY())</f>
      </c>
      <c r="G109" s="13"/>
      <c r="H109" s="15"/>
      <c r="I109" s="12"/>
      <c r="J109" s="12"/>
      <c r="K109" s="12"/>
      <c r="L109" s="12"/>
      <c r="M109" s="12"/>
      <c r="N109" s="12"/>
      <c r="O109" s="12"/>
      <c r="P109" s="12"/>
      <c r="Q109" s="12"/>
      <c r="R109" s="12"/>
      <c r="S109" s="12"/>
      <c r="T109" s="16"/>
    </row>
    <row r="110" spans="1:20" x14ac:dyDescent="0.25">
      <c r="A110" s="12"/>
      <c r="B110" s="12"/>
      <c r="C110" s="12"/>
      <c r="D110" s="12"/>
      <c r="E110" s="13"/>
      <c r="F110" s="14">
        <f>IF(E110="","",E110-TODAY())</f>
      </c>
      <c r="G110" s="13"/>
      <c r="H110" s="15"/>
      <c r="I110" s="12"/>
      <c r="J110" s="12"/>
      <c r="K110" s="12"/>
      <c r="L110" s="12"/>
      <c r="M110" s="12"/>
      <c r="N110" s="12"/>
      <c r="O110" s="12"/>
      <c r="P110" s="12"/>
      <c r="Q110" s="12"/>
      <c r="R110" s="12"/>
      <c r="S110" s="12"/>
      <c r="T110" s="16"/>
    </row>
    <row r="111" spans="1:20" x14ac:dyDescent="0.25">
      <c r="A111" s="12"/>
      <c r="B111" s="12"/>
      <c r="C111" s="12"/>
      <c r="D111" s="12"/>
      <c r="E111" s="13"/>
      <c r="F111" s="14">
        <f>IF(E111="","",E111-TODAY())</f>
      </c>
      <c r="G111" s="13"/>
      <c r="H111" s="15"/>
      <c r="I111" s="12"/>
      <c r="J111" s="12"/>
      <c r="K111" s="12"/>
      <c r="L111" s="12"/>
      <c r="M111" s="12"/>
      <c r="N111" s="12"/>
      <c r="O111" s="12"/>
      <c r="P111" s="12"/>
      <c r="Q111" s="12"/>
      <c r="R111" s="12"/>
      <c r="S111" s="12"/>
      <c r="T111" s="16"/>
    </row>
    <row r="112" spans="1:20" x14ac:dyDescent="0.25">
      <c r="A112" s="12"/>
      <c r="B112" s="12"/>
      <c r="C112" s="12"/>
      <c r="D112" s="12"/>
      <c r="E112" s="13"/>
      <c r="F112" s="14">
        <f>IF(E112="","",E112-TODAY())</f>
      </c>
      <c r="G112" s="13"/>
      <c r="H112" s="15"/>
      <c r="I112" s="12"/>
      <c r="J112" s="12"/>
      <c r="K112" s="12"/>
      <c r="L112" s="12"/>
      <c r="M112" s="12"/>
      <c r="N112" s="12"/>
      <c r="O112" s="12"/>
      <c r="P112" s="12"/>
      <c r="Q112" s="12"/>
      <c r="R112" s="12"/>
      <c r="S112" s="12"/>
      <c r="T112" s="16"/>
    </row>
    <row r="113" spans="1:20" x14ac:dyDescent="0.25">
      <c r="A113" s="12"/>
      <c r="B113" s="12"/>
      <c r="C113" s="12"/>
      <c r="D113" s="12"/>
      <c r="E113" s="13"/>
      <c r="F113" s="14">
        <f>IF(E113="","",E113-TODAY())</f>
      </c>
      <c r="G113" s="13"/>
      <c r="H113" s="15"/>
      <c r="I113" s="12"/>
      <c r="J113" s="12"/>
      <c r="K113" s="12"/>
      <c r="L113" s="12"/>
      <c r="M113" s="12"/>
      <c r="N113" s="12"/>
      <c r="O113" s="12"/>
      <c r="P113" s="12"/>
      <c r="Q113" s="12"/>
      <c r="R113" s="12"/>
      <c r="S113" s="12"/>
      <c r="T113" s="16"/>
    </row>
    <row r="114" spans="1:20" x14ac:dyDescent="0.25">
      <c r="A114" s="12"/>
      <c r="B114" s="12"/>
      <c r="C114" s="12"/>
      <c r="D114" s="12"/>
      <c r="E114" s="13"/>
      <c r="F114" s="14">
        <f>IF(E114="","",E114-TODAY())</f>
      </c>
      <c r="G114" s="13"/>
      <c r="H114" s="15"/>
      <c r="I114" s="12"/>
      <c r="J114" s="12"/>
      <c r="K114" s="12"/>
      <c r="L114" s="12"/>
      <c r="M114" s="12"/>
      <c r="N114" s="12"/>
      <c r="O114" s="12"/>
      <c r="P114" s="12"/>
      <c r="Q114" s="12"/>
      <c r="R114" s="12"/>
      <c r="S114" s="12"/>
      <c r="T114" s="16"/>
    </row>
    <row r="115" spans="1:20" x14ac:dyDescent="0.25">
      <c r="A115" s="12"/>
      <c r="B115" s="12"/>
      <c r="C115" s="12"/>
      <c r="D115" s="12"/>
      <c r="E115" s="13"/>
      <c r="F115" s="14">
        <f>IF(E115="","",E115-TODAY())</f>
      </c>
      <c r="G115" s="13"/>
      <c r="H115" s="15"/>
      <c r="I115" s="12"/>
      <c r="J115" s="12"/>
      <c r="K115" s="12"/>
      <c r="L115" s="12"/>
      <c r="M115" s="12"/>
      <c r="N115" s="12"/>
      <c r="O115" s="12"/>
      <c r="P115" s="12"/>
      <c r="Q115" s="12"/>
      <c r="R115" s="12"/>
      <c r="S115" s="12"/>
      <c r="T115" s="16"/>
    </row>
    <row r="116" spans="1:20" x14ac:dyDescent="0.25">
      <c r="A116" s="12"/>
      <c r="B116" s="12"/>
      <c r="C116" s="12"/>
      <c r="D116" s="12"/>
      <c r="E116" s="13"/>
      <c r="F116" s="14">
        <f>IF(E116="","",E116-TODAY())</f>
      </c>
      <c r="G116" s="13"/>
      <c r="H116" s="15"/>
      <c r="I116" s="12"/>
      <c r="J116" s="12"/>
      <c r="K116" s="12"/>
      <c r="L116" s="12"/>
      <c r="M116" s="12"/>
      <c r="N116" s="12"/>
      <c r="O116" s="12"/>
      <c r="P116" s="12"/>
      <c r="Q116" s="12"/>
      <c r="R116" s="12"/>
      <c r="S116" s="12"/>
      <c r="T116" s="16"/>
    </row>
    <row r="117" spans="1:20" x14ac:dyDescent="0.25">
      <c r="A117" s="12"/>
      <c r="B117" s="12"/>
      <c r="C117" s="12"/>
      <c r="D117" s="12"/>
      <c r="E117" s="13"/>
      <c r="F117" s="14">
        <f>IF(E117="","",E117-TODAY())</f>
      </c>
      <c r="G117" s="13"/>
      <c r="H117" s="15"/>
      <c r="I117" s="12"/>
      <c r="J117" s="12"/>
      <c r="K117" s="12"/>
      <c r="L117" s="12"/>
      <c r="M117" s="12"/>
      <c r="N117" s="12"/>
      <c r="O117" s="12"/>
      <c r="P117" s="12"/>
      <c r="Q117" s="12"/>
      <c r="R117" s="12"/>
      <c r="S117" s="12"/>
      <c r="T117" s="16"/>
    </row>
    <row r="118" spans="1:20" x14ac:dyDescent="0.25">
      <c r="A118" s="12"/>
      <c r="B118" s="12"/>
      <c r="C118" s="12"/>
      <c r="D118" s="12"/>
      <c r="E118" s="13"/>
      <c r="F118" s="14">
        <f>IF(E118="","",E118-TODAY())</f>
      </c>
      <c r="G118" s="13"/>
      <c r="H118" s="15"/>
      <c r="I118" s="12"/>
      <c r="J118" s="12"/>
      <c r="K118" s="12"/>
      <c r="L118" s="12"/>
      <c r="M118" s="12"/>
      <c r="N118" s="12"/>
      <c r="O118" s="12"/>
      <c r="P118" s="12"/>
      <c r="Q118" s="12"/>
      <c r="R118" s="12"/>
      <c r="S118" s="12"/>
      <c r="T118" s="16"/>
    </row>
    <row r="119" spans="1:20" x14ac:dyDescent="0.25">
      <c r="A119" s="12"/>
      <c r="B119" s="12"/>
      <c r="C119" s="12"/>
      <c r="D119" s="12"/>
      <c r="E119" s="13"/>
      <c r="F119" s="14">
        <f>IF(E119="","",E119-TODAY())</f>
      </c>
      <c r="G119" s="13"/>
      <c r="H119" s="15"/>
      <c r="I119" s="12"/>
      <c r="J119" s="12"/>
      <c r="K119" s="12"/>
      <c r="L119" s="12"/>
      <c r="M119" s="12"/>
      <c r="N119" s="12"/>
      <c r="O119" s="12"/>
      <c r="P119" s="12"/>
      <c r="Q119" s="12"/>
      <c r="R119" s="12"/>
      <c r="S119" s="12"/>
      <c r="T119" s="16"/>
    </row>
    <row r="120" spans="1:20" x14ac:dyDescent="0.25">
      <c r="A120" s="12"/>
      <c r="B120" s="12"/>
      <c r="C120" s="12"/>
      <c r="D120" s="12"/>
      <c r="E120" s="13"/>
      <c r="F120" s="14">
        <f>IF(E120="","",E120-TODAY())</f>
      </c>
      <c r="G120" s="13"/>
      <c r="H120" s="15"/>
      <c r="I120" s="12"/>
      <c r="J120" s="12"/>
      <c r="K120" s="12"/>
      <c r="L120" s="12"/>
      <c r="M120" s="12"/>
      <c r="N120" s="12"/>
      <c r="O120" s="12"/>
      <c r="P120" s="12"/>
      <c r="Q120" s="12"/>
      <c r="R120" s="12"/>
      <c r="S120" s="12"/>
      <c r="T120" s="16"/>
    </row>
    <row r="121" spans="1:20" x14ac:dyDescent="0.25">
      <c r="A121" s="12"/>
      <c r="B121" s="12"/>
      <c r="C121" s="12"/>
      <c r="D121" s="12"/>
      <c r="E121" s="13"/>
      <c r="F121" s="14">
        <f>IF(E121="","",E121-TODAY())</f>
      </c>
      <c r="G121" s="13"/>
      <c r="H121" s="15"/>
      <c r="I121" s="12"/>
      <c r="J121" s="12"/>
      <c r="K121" s="12"/>
      <c r="L121" s="12"/>
      <c r="M121" s="12"/>
      <c r="N121" s="12"/>
      <c r="O121" s="12"/>
      <c r="P121" s="12"/>
      <c r="Q121" s="12"/>
      <c r="R121" s="12"/>
      <c r="S121" s="12"/>
      <c r="T121" s="16"/>
    </row>
    <row r="122" spans="1:20" x14ac:dyDescent="0.25">
      <c r="A122" s="12"/>
      <c r="B122" s="12"/>
      <c r="C122" s="12"/>
      <c r="D122" s="12"/>
      <c r="E122" s="13"/>
      <c r="F122" s="14">
        <f>IF(E122="","",E122-TODAY())</f>
      </c>
      <c r="G122" s="13"/>
      <c r="H122" s="15"/>
      <c r="I122" s="12"/>
      <c r="J122" s="12"/>
      <c r="K122" s="12"/>
      <c r="L122" s="12"/>
      <c r="M122" s="12"/>
      <c r="N122" s="12"/>
      <c r="O122" s="12"/>
      <c r="P122" s="12"/>
      <c r="Q122" s="12"/>
      <c r="R122" s="12"/>
      <c r="S122" s="12"/>
      <c r="T122" s="16"/>
    </row>
    <row r="123" spans="1:20" x14ac:dyDescent="0.25">
      <c r="A123" s="12"/>
      <c r="B123" s="12"/>
      <c r="C123" s="12"/>
      <c r="D123" s="12"/>
      <c r="E123" s="13"/>
      <c r="F123" s="14">
        <f>IF(E123="","",E123-TODAY())</f>
      </c>
      <c r="G123" s="13"/>
      <c r="H123" s="15"/>
      <c r="I123" s="12"/>
      <c r="J123" s="12"/>
      <c r="K123" s="12"/>
      <c r="L123" s="12"/>
      <c r="M123" s="12"/>
      <c r="N123" s="12"/>
      <c r="O123" s="12"/>
      <c r="P123" s="12"/>
      <c r="Q123" s="12"/>
      <c r="R123" s="12"/>
      <c r="S123" s="12"/>
      <c r="T123" s="16"/>
    </row>
    <row r="124" spans="1:20" x14ac:dyDescent="0.25">
      <c r="A124" s="12"/>
      <c r="B124" s="12"/>
      <c r="C124" s="12"/>
      <c r="D124" s="12"/>
      <c r="E124" s="13"/>
      <c r="F124" s="14">
        <f>IF(E124="","",E124-TODAY())</f>
      </c>
      <c r="G124" s="13"/>
      <c r="H124" s="15"/>
      <c r="I124" s="12"/>
      <c r="J124" s="12"/>
      <c r="K124" s="12"/>
      <c r="L124" s="12"/>
      <c r="M124" s="12"/>
      <c r="N124" s="12"/>
      <c r="O124" s="12"/>
      <c r="P124" s="12"/>
      <c r="Q124" s="12"/>
      <c r="R124" s="12"/>
      <c r="S124" s="12"/>
      <c r="T124" s="16"/>
    </row>
    <row r="125" spans="1:20" x14ac:dyDescent="0.25">
      <c r="A125" s="12"/>
      <c r="B125" s="12"/>
      <c r="C125" s="12"/>
      <c r="D125" s="12"/>
      <c r="E125" s="13"/>
      <c r="F125" s="14">
        <f>IF(E125="","",E125-TODAY())</f>
      </c>
      <c r="G125" s="13"/>
      <c r="H125" s="15"/>
      <c r="I125" s="12"/>
      <c r="J125" s="12"/>
      <c r="K125" s="12"/>
      <c r="L125" s="12"/>
      <c r="M125" s="12"/>
      <c r="N125" s="12"/>
      <c r="O125" s="12"/>
      <c r="P125" s="12"/>
      <c r="Q125" s="12"/>
      <c r="R125" s="12"/>
      <c r="S125" s="12"/>
      <c r="T125" s="16"/>
    </row>
    <row r="126" spans="1:20" x14ac:dyDescent="0.25">
      <c r="A126" s="12"/>
      <c r="B126" s="12"/>
      <c r="C126" s="12"/>
      <c r="D126" s="12"/>
      <c r="E126" s="13"/>
      <c r="F126" s="14">
        <f>IF(E126="","",E126-TODAY())</f>
      </c>
      <c r="G126" s="13"/>
      <c r="H126" s="15"/>
      <c r="I126" s="12"/>
      <c r="J126" s="12"/>
      <c r="K126" s="12"/>
      <c r="L126" s="12"/>
      <c r="M126" s="12"/>
      <c r="N126" s="12"/>
      <c r="O126" s="12"/>
      <c r="P126" s="12"/>
      <c r="Q126" s="12"/>
      <c r="R126" s="12"/>
      <c r="S126" s="12"/>
      <c r="T126" s="16"/>
    </row>
    <row r="127" spans="1:20" x14ac:dyDescent="0.25">
      <c r="A127" s="12"/>
      <c r="B127" s="12"/>
      <c r="C127" s="12"/>
      <c r="D127" s="12"/>
      <c r="E127" s="13"/>
      <c r="F127" s="14">
        <f>IF(E127="","",E127-TODAY())</f>
      </c>
      <c r="G127" s="13"/>
      <c r="H127" s="15"/>
      <c r="I127" s="12"/>
      <c r="J127" s="12"/>
      <c r="K127" s="12"/>
      <c r="L127" s="12"/>
      <c r="M127" s="12"/>
      <c r="N127" s="12"/>
      <c r="O127" s="12"/>
      <c r="P127" s="12"/>
      <c r="Q127" s="12"/>
      <c r="R127" s="12"/>
      <c r="S127" s="12"/>
      <c r="T127" s="16"/>
    </row>
    <row r="128" spans="1:20" x14ac:dyDescent="0.25">
      <c r="A128" s="12"/>
      <c r="B128" s="12"/>
      <c r="C128" s="12"/>
      <c r="D128" s="12"/>
      <c r="E128" s="13"/>
      <c r="F128" s="14">
        <f>IF(E128="","",E128-TODAY())</f>
      </c>
      <c r="G128" s="13"/>
      <c r="H128" s="15"/>
      <c r="I128" s="12"/>
      <c r="J128" s="12"/>
      <c r="K128" s="12"/>
      <c r="L128" s="12"/>
      <c r="M128" s="12"/>
      <c r="N128" s="12"/>
      <c r="O128" s="12"/>
      <c r="P128" s="12"/>
      <c r="Q128" s="12"/>
      <c r="R128" s="12"/>
      <c r="S128" s="12"/>
      <c r="T128" s="16"/>
    </row>
    <row r="129" spans="1:20" x14ac:dyDescent="0.25">
      <c r="A129" s="12"/>
      <c r="B129" s="12"/>
      <c r="C129" s="12"/>
      <c r="D129" s="12"/>
      <c r="E129" s="13"/>
      <c r="F129" s="14">
        <f>IF(E129="","",E129-TODAY())</f>
      </c>
      <c r="G129" s="13"/>
      <c r="H129" s="15"/>
      <c r="I129" s="12"/>
      <c r="J129" s="12"/>
      <c r="K129" s="12"/>
      <c r="L129" s="12"/>
      <c r="M129" s="12"/>
      <c r="N129" s="12"/>
      <c r="O129" s="12"/>
      <c r="P129" s="12"/>
      <c r="Q129" s="12"/>
      <c r="R129" s="12"/>
      <c r="S129" s="12"/>
      <c r="T129" s="16"/>
    </row>
    <row r="130" spans="1:20" x14ac:dyDescent="0.25">
      <c r="A130" s="12"/>
      <c r="B130" s="12"/>
      <c r="C130" s="12"/>
      <c r="D130" s="12"/>
      <c r="E130" s="13"/>
      <c r="F130" s="14">
        <f>IF(E130="","",E130-TODAY())</f>
      </c>
      <c r="G130" s="13"/>
      <c r="H130" s="15"/>
      <c r="I130" s="12"/>
      <c r="J130" s="12"/>
      <c r="K130" s="12"/>
      <c r="L130" s="12"/>
      <c r="M130" s="12"/>
      <c r="N130" s="12"/>
      <c r="O130" s="12"/>
      <c r="P130" s="12"/>
      <c r="Q130" s="12"/>
      <c r="R130" s="12"/>
      <c r="S130" s="12"/>
      <c r="T130" s="16"/>
    </row>
    <row r="131" spans="1:20" x14ac:dyDescent="0.25">
      <c r="A131" s="12"/>
      <c r="B131" s="12"/>
      <c r="C131" s="12"/>
      <c r="D131" s="12"/>
      <c r="E131" s="13"/>
      <c r="F131" s="14">
        <f>IF(E131="","",E131-TODAY())</f>
      </c>
      <c r="G131" s="13"/>
      <c r="H131" s="15"/>
      <c r="I131" s="12"/>
      <c r="J131" s="12"/>
      <c r="K131" s="12"/>
      <c r="L131" s="12"/>
      <c r="M131" s="12"/>
      <c r="N131" s="12"/>
      <c r="O131" s="12"/>
      <c r="P131" s="12"/>
      <c r="Q131" s="12"/>
      <c r="R131" s="12"/>
      <c r="S131" s="12"/>
      <c r="T131" s="16"/>
    </row>
    <row r="132" spans="1:20" x14ac:dyDescent="0.25">
      <c r="A132" s="12"/>
      <c r="B132" s="12"/>
      <c r="C132" s="12"/>
      <c r="D132" s="12"/>
      <c r="E132" s="13"/>
      <c r="F132" s="14">
        <f>IF(E132="","",E132-TODAY())</f>
      </c>
      <c r="G132" s="13"/>
      <c r="H132" s="15"/>
      <c r="I132" s="12"/>
      <c r="J132" s="12"/>
      <c r="K132" s="12"/>
      <c r="L132" s="12"/>
      <c r="M132" s="12"/>
      <c r="N132" s="12"/>
      <c r="O132" s="12"/>
      <c r="P132" s="12"/>
      <c r="Q132" s="12"/>
      <c r="R132" s="12"/>
      <c r="S132" s="12"/>
      <c r="T132" s="16"/>
    </row>
    <row r="133" spans="1:20" x14ac:dyDescent="0.25">
      <c r="A133" s="12"/>
      <c r="B133" s="12"/>
      <c r="C133" s="12"/>
      <c r="D133" s="12"/>
      <c r="E133" s="13"/>
      <c r="F133" s="14">
        <f>IF(E133="","",E133-TODAY())</f>
      </c>
      <c r="G133" s="13"/>
      <c r="H133" s="15"/>
      <c r="I133" s="12"/>
      <c r="J133" s="12"/>
      <c r="K133" s="12"/>
      <c r="L133" s="12"/>
      <c r="M133" s="12"/>
      <c r="N133" s="12"/>
      <c r="O133" s="12"/>
      <c r="P133" s="12"/>
      <c r="Q133" s="12"/>
      <c r="R133" s="12"/>
      <c r="S133" s="12"/>
      <c r="T133" s="16"/>
    </row>
    <row r="134" spans="1:20" x14ac:dyDescent="0.25">
      <c r="A134" s="12"/>
      <c r="B134" s="12"/>
      <c r="C134" s="12"/>
      <c r="D134" s="12"/>
      <c r="E134" s="13"/>
      <c r="F134" s="14">
        <f>IF(E134="","",E134-TODAY())</f>
      </c>
      <c r="G134" s="13"/>
      <c r="H134" s="15"/>
      <c r="I134" s="12"/>
      <c r="J134" s="12"/>
      <c r="K134" s="12"/>
      <c r="L134" s="12"/>
      <c r="M134" s="12"/>
      <c r="N134" s="12"/>
      <c r="O134" s="12"/>
      <c r="P134" s="12"/>
      <c r="Q134" s="12"/>
      <c r="R134" s="12"/>
      <c r="S134" s="12"/>
      <c r="T134" s="16"/>
    </row>
    <row r="135" spans="1:20" x14ac:dyDescent="0.25">
      <c r="A135" s="12"/>
      <c r="B135" s="12"/>
      <c r="C135" s="12"/>
      <c r="D135" s="12"/>
      <c r="E135" s="13"/>
      <c r="F135" s="14">
        <f>IF(E135="","",E135-TODAY())</f>
      </c>
      <c r="G135" s="13"/>
      <c r="H135" s="15"/>
      <c r="I135" s="12"/>
      <c r="J135" s="12"/>
      <c r="K135" s="12"/>
      <c r="L135" s="12"/>
      <c r="M135" s="12"/>
      <c r="N135" s="12"/>
      <c r="O135" s="12"/>
      <c r="P135" s="12"/>
      <c r="Q135" s="12"/>
      <c r="R135" s="12"/>
      <c r="S135" s="12"/>
      <c r="T135" s="16"/>
    </row>
    <row r="136" spans="1:20" x14ac:dyDescent="0.25">
      <c r="A136" s="12"/>
      <c r="B136" s="12"/>
      <c r="C136" s="12"/>
      <c r="D136" s="12"/>
      <c r="E136" s="13"/>
      <c r="F136" s="14">
        <f>IF(E136="","",E136-TODAY())</f>
      </c>
      <c r="G136" s="13"/>
      <c r="H136" s="15"/>
      <c r="I136" s="12"/>
      <c r="J136" s="12"/>
      <c r="K136" s="12"/>
      <c r="L136" s="12"/>
      <c r="M136" s="12"/>
      <c r="N136" s="12"/>
      <c r="O136" s="12"/>
      <c r="P136" s="12"/>
      <c r="Q136" s="12"/>
      <c r="R136" s="12"/>
      <c r="S136" s="12"/>
      <c r="T136" s="16"/>
    </row>
    <row r="137" spans="1:20" x14ac:dyDescent="0.25">
      <c r="A137" s="12"/>
      <c r="B137" s="12"/>
      <c r="C137" s="12"/>
      <c r="D137" s="12"/>
      <c r="E137" s="13"/>
      <c r="F137" s="14">
        <f>IF(E137="","",E137-TODAY())</f>
      </c>
      <c r="G137" s="13"/>
      <c r="H137" s="15"/>
      <c r="I137" s="12"/>
      <c r="J137" s="12"/>
      <c r="K137" s="12"/>
      <c r="L137" s="12"/>
      <c r="M137" s="12"/>
      <c r="N137" s="12"/>
      <c r="O137" s="12"/>
      <c r="P137" s="12"/>
      <c r="Q137" s="12"/>
      <c r="R137" s="12"/>
      <c r="S137" s="12"/>
      <c r="T137" s="16"/>
    </row>
    <row r="138" spans="1:20" x14ac:dyDescent="0.25">
      <c r="A138" s="12"/>
      <c r="B138" s="12"/>
      <c r="C138" s="12"/>
      <c r="D138" s="12"/>
      <c r="E138" s="13"/>
      <c r="F138" s="14">
        <f>IF(E138="","",E138-TODAY())</f>
      </c>
      <c r="G138" s="13"/>
      <c r="H138" s="15"/>
      <c r="I138" s="12"/>
      <c r="J138" s="12"/>
      <c r="K138" s="12"/>
      <c r="L138" s="12"/>
      <c r="M138" s="12"/>
      <c r="N138" s="12"/>
      <c r="O138" s="12"/>
      <c r="P138" s="12"/>
      <c r="Q138" s="12"/>
      <c r="R138" s="12"/>
      <c r="S138" s="12"/>
      <c r="T138" s="16"/>
    </row>
    <row r="139" spans="1:20" x14ac:dyDescent="0.25">
      <c r="A139" s="12"/>
      <c r="B139" s="12"/>
      <c r="C139" s="12"/>
      <c r="D139" s="12"/>
      <c r="E139" s="13"/>
      <c r="F139" s="14">
        <f>IF(E139="","",E139-TODAY())</f>
      </c>
      <c r="G139" s="13"/>
      <c r="H139" s="15"/>
      <c r="I139" s="12"/>
      <c r="J139" s="12"/>
      <c r="K139" s="12"/>
      <c r="L139" s="12"/>
      <c r="M139" s="12"/>
      <c r="N139" s="12"/>
      <c r="O139" s="12"/>
      <c r="P139" s="12"/>
      <c r="Q139" s="12"/>
      <c r="R139" s="12"/>
      <c r="S139" s="12"/>
      <c r="T139" s="16"/>
    </row>
    <row r="140" spans="1:20" x14ac:dyDescent="0.25">
      <c r="A140" s="12"/>
      <c r="B140" s="12"/>
      <c r="C140" s="12"/>
      <c r="D140" s="12"/>
      <c r="E140" s="13"/>
      <c r="F140" s="14">
        <f>IF(E140="","",E140-TODAY())</f>
      </c>
      <c r="G140" s="13"/>
      <c r="H140" s="15"/>
      <c r="I140" s="12"/>
      <c r="J140" s="12"/>
      <c r="K140" s="12"/>
      <c r="L140" s="12"/>
      <c r="M140" s="12"/>
      <c r="N140" s="12"/>
      <c r="O140" s="12"/>
      <c r="P140" s="12"/>
      <c r="Q140" s="12"/>
      <c r="R140" s="12"/>
      <c r="S140" s="12"/>
      <c r="T140" s="16"/>
    </row>
    <row r="141" spans="1:20" x14ac:dyDescent="0.25">
      <c r="A141" s="12"/>
      <c r="B141" s="12"/>
      <c r="C141" s="12"/>
      <c r="D141" s="12"/>
      <c r="E141" s="13"/>
      <c r="F141" s="14">
        <f>IF(E141="","",E141-TODAY())</f>
      </c>
      <c r="G141" s="13"/>
      <c r="H141" s="15"/>
      <c r="I141" s="12"/>
      <c r="J141" s="12"/>
      <c r="K141" s="12"/>
      <c r="L141" s="12"/>
      <c r="M141" s="12"/>
      <c r="N141" s="12"/>
      <c r="O141" s="12"/>
      <c r="P141" s="12"/>
      <c r="Q141" s="12"/>
      <c r="R141" s="12"/>
      <c r="S141" s="12"/>
      <c r="T141" s="16"/>
    </row>
    <row r="142" spans="1:20" x14ac:dyDescent="0.25">
      <c r="A142" s="12"/>
      <c r="B142" s="12"/>
      <c r="C142" s="12"/>
      <c r="D142" s="12"/>
      <c r="E142" s="13"/>
      <c r="F142" s="14">
        <f>IF(E142="","",E142-TODAY())</f>
      </c>
      <c r="G142" s="13"/>
      <c r="H142" s="15"/>
      <c r="I142" s="12"/>
      <c r="J142" s="12"/>
      <c r="K142" s="12"/>
      <c r="L142" s="12"/>
      <c r="M142" s="12"/>
      <c r="N142" s="12"/>
      <c r="O142" s="12"/>
      <c r="P142" s="12"/>
      <c r="Q142" s="12"/>
      <c r="R142" s="12"/>
      <c r="S142" s="12"/>
      <c r="T142" s="16"/>
    </row>
    <row r="143" spans="1:20" x14ac:dyDescent="0.25">
      <c r="A143" s="12"/>
      <c r="B143" s="12"/>
      <c r="C143" s="12"/>
      <c r="D143" s="12"/>
      <c r="E143" s="13"/>
      <c r="F143" s="14">
        <f>IF(E143="","",E143-TODAY())</f>
      </c>
      <c r="G143" s="13"/>
      <c r="H143" s="15"/>
      <c r="I143" s="12"/>
      <c r="J143" s="12"/>
      <c r="K143" s="12"/>
      <c r="L143" s="12"/>
      <c r="M143" s="12"/>
      <c r="N143" s="12"/>
      <c r="O143" s="12"/>
      <c r="P143" s="12"/>
      <c r="Q143" s="12"/>
      <c r="R143" s="12"/>
      <c r="S143" s="12"/>
      <c r="T143" s="16"/>
    </row>
    <row r="144" spans="1:20" x14ac:dyDescent="0.25">
      <c r="A144" s="12"/>
      <c r="B144" s="12"/>
      <c r="C144" s="12"/>
      <c r="D144" s="12"/>
      <c r="E144" s="13"/>
      <c r="F144" s="14">
        <f>IF(E144="","",E144-TODAY())</f>
      </c>
      <c r="G144" s="13"/>
      <c r="H144" s="15"/>
      <c r="I144" s="12"/>
      <c r="J144" s="12"/>
      <c r="K144" s="12"/>
      <c r="L144" s="12"/>
      <c r="M144" s="12"/>
      <c r="N144" s="12"/>
      <c r="O144" s="12"/>
      <c r="P144" s="12"/>
      <c r="Q144" s="12"/>
      <c r="R144" s="12"/>
      <c r="S144" s="12"/>
      <c r="T144" s="16"/>
    </row>
    <row r="145" spans="1:20" x14ac:dyDescent="0.25">
      <c r="A145" s="12"/>
      <c r="B145" s="12"/>
      <c r="C145" s="12"/>
      <c r="D145" s="12"/>
      <c r="E145" s="13"/>
      <c r="F145" s="14">
        <f>IF(E145="","",E145-TODAY())</f>
      </c>
      <c r="G145" s="13"/>
      <c r="H145" s="15"/>
      <c r="I145" s="12"/>
      <c r="J145" s="12"/>
      <c r="K145" s="12"/>
      <c r="L145" s="12"/>
      <c r="M145" s="12"/>
      <c r="N145" s="12"/>
      <c r="O145" s="12"/>
      <c r="P145" s="12"/>
      <c r="Q145" s="12"/>
      <c r="R145" s="12"/>
      <c r="S145" s="12"/>
      <c r="T145" s="16"/>
    </row>
    <row r="146" spans="1:20" x14ac:dyDescent="0.25">
      <c r="A146" s="12"/>
      <c r="B146" s="12"/>
      <c r="C146" s="12"/>
      <c r="D146" s="12"/>
      <c r="E146" s="13"/>
      <c r="F146" s="14">
        <f>IF(E146="","",E146-TODAY())</f>
      </c>
      <c r="G146" s="13"/>
      <c r="H146" s="15"/>
      <c r="I146" s="12"/>
      <c r="J146" s="12"/>
      <c r="K146" s="12"/>
      <c r="L146" s="12"/>
      <c r="M146" s="12"/>
      <c r="N146" s="12"/>
      <c r="O146" s="12"/>
      <c r="P146" s="12"/>
      <c r="Q146" s="12"/>
      <c r="R146" s="12"/>
      <c r="S146" s="12"/>
      <c r="T146" s="16"/>
    </row>
    <row r="147" spans="1:20" x14ac:dyDescent="0.25">
      <c r="A147" s="12"/>
      <c r="B147" s="12"/>
      <c r="C147" s="12"/>
      <c r="D147" s="12"/>
      <c r="E147" s="13"/>
      <c r="F147" s="14">
        <f>IF(E147="","",E147-TODAY())</f>
      </c>
      <c r="G147" s="13"/>
      <c r="H147" s="15"/>
      <c r="I147" s="12"/>
      <c r="J147" s="12"/>
      <c r="K147" s="12"/>
      <c r="L147" s="12"/>
      <c r="M147" s="12"/>
      <c r="N147" s="12"/>
      <c r="O147" s="12"/>
      <c r="P147" s="12"/>
      <c r="Q147" s="12"/>
      <c r="R147" s="12"/>
      <c r="S147" s="12"/>
      <c r="T147" s="16"/>
    </row>
    <row r="148" spans="1:20" x14ac:dyDescent="0.25">
      <c r="A148" s="12"/>
      <c r="B148" s="12"/>
      <c r="C148" s="12"/>
      <c r="D148" s="12"/>
      <c r="E148" s="13"/>
      <c r="F148" s="14">
        <f>IF(E148="","",E148-TODAY())</f>
      </c>
      <c r="G148" s="13"/>
      <c r="H148" s="15"/>
      <c r="I148" s="12"/>
      <c r="J148" s="12"/>
      <c r="K148" s="12"/>
      <c r="L148" s="12"/>
      <c r="M148" s="12"/>
      <c r="N148" s="12"/>
      <c r="O148" s="12"/>
      <c r="P148" s="12"/>
      <c r="Q148" s="12"/>
      <c r="R148" s="12"/>
      <c r="S148" s="12"/>
      <c r="T148" s="16"/>
    </row>
    <row r="149" spans="1:20" x14ac:dyDescent="0.25">
      <c r="A149" s="12"/>
      <c r="B149" s="12"/>
      <c r="C149" s="12"/>
      <c r="D149" s="12"/>
      <c r="E149" s="13"/>
      <c r="F149" s="14">
        <f>IF(E149="","",E149-TODAY())</f>
      </c>
      <c r="G149" s="13"/>
      <c r="H149" s="15"/>
      <c r="I149" s="12"/>
      <c r="J149" s="12"/>
      <c r="K149" s="12"/>
      <c r="L149" s="12"/>
      <c r="M149" s="12"/>
      <c r="N149" s="12"/>
      <c r="O149" s="12"/>
      <c r="P149" s="12"/>
      <c r="Q149" s="12"/>
      <c r="R149" s="12"/>
      <c r="S149" s="12"/>
      <c r="T149" s="16"/>
    </row>
    <row r="150" spans="1:20" x14ac:dyDescent="0.25">
      <c r="A150" s="12"/>
      <c r="B150" s="12"/>
      <c r="C150" s="12"/>
      <c r="D150" s="12"/>
      <c r="E150" s="13"/>
      <c r="F150" s="14">
        <f>IF(E150="","",E150-TODAY())</f>
      </c>
      <c r="G150" s="13"/>
      <c r="H150" s="15"/>
      <c r="I150" s="12"/>
      <c r="J150" s="12"/>
      <c r="K150" s="12"/>
      <c r="L150" s="12"/>
      <c r="M150" s="12"/>
      <c r="N150" s="12"/>
      <c r="O150" s="12"/>
      <c r="P150" s="12"/>
      <c r="Q150" s="12"/>
      <c r="R150" s="12"/>
      <c r="S150" s="12"/>
      <c r="T150" s="16"/>
    </row>
    <row r="151" spans="1:20" x14ac:dyDescent="0.25">
      <c r="A151" s="12"/>
      <c r="B151" s="12"/>
      <c r="C151" s="12"/>
      <c r="D151" s="12"/>
      <c r="E151" s="13"/>
      <c r="F151" s="14">
        <f>IF(E151="","",E151-TODAY())</f>
      </c>
      <c r="G151" s="13"/>
      <c r="H151" s="15"/>
      <c r="I151" s="12"/>
      <c r="J151" s="12"/>
      <c r="K151" s="12"/>
      <c r="L151" s="12"/>
      <c r="M151" s="12"/>
      <c r="N151" s="12"/>
      <c r="O151" s="12"/>
      <c r="P151" s="12"/>
      <c r="Q151" s="12"/>
      <c r="R151" s="12"/>
      <c r="S151" s="12"/>
      <c r="T151" s="16"/>
    </row>
    <row r="152" spans="1:20" x14ac:dyDescent="0.25">
      <c r="A152" s="12"/>
      <c r="B152" s="12"/>
      <c r="C152" s="12"/>
      <c r="D152" s="12"/>
      <c r="E152" s="13"/>
      <c r="F152" s="14">
        <f>IF(E152="","",E152-TODAY())</f>
      </c>
      <c r="G152" s="13"/>
      <c r="H152" s="15"/>
      <c r="I152" s="12"/>
      <c r="J152" s="12"/>
      <c r="K152" s="12"/>
      <c r="L152" s="12"/>
      <c r="M152" s="12"/>
      <c r="N152" s="12"/>
      <c r="O152" s="12"/>
      <c r="P152" s="12"/>
      <c r="Q152" s="12"/>
      <c r="R152" s="12"/>
      <c r="S152" s="12"/>
      <c r="T152" s="16"/>
    </row>
    <row r="153" spans="1:20" x14ac:dyDescent="0.25">
      <c r="A153" s="12"/>
      <c r="B153" s="12"/>
      <c r="C153" s="12"/>
      <c r="D153" s="12"/>
      <c r="E153" s="13"/>
      <c r="F153" s="14">
        <f>IF(E153="","",E153-TODAY())</f>
      </c>
      <c r="G153" s="13"/>
      <c r="H153" s="15"/>
      <c r="I153" s="12"/>
      <c r="J153" s="12"/>
      <c r="K153" s="12"/>
      <c r="L153" s="12"/>
      <c r="M153" s="12"/>
      <c r="N153" s="12"/>
      <c r="O153" s="12"/>
      <c r="P153" s="12"/>
      <c r="Q153" s="12"/>
      <c r="R153" s="12"/>
      <c r="S153" s="12"/>
      <c r="T153" s="16"/>
    </row>
    <row r="154" spans="1:20" x14ac:dyDescent="0.25">
      <c r="A154" s="12"/>
      <c r="B154" s="12"/>
      <c r="C154" s="12"/>
      <c r="D154" s="12"/>
      <c r="E154" s="13"/>
      <c r="F154" s="14">
        <f>IF(E154="","",E154-TODAY())</f>
      </c>
      <c r="G154" s="13"/>
      <c r="H154" s="15"/>
      <c r="I154" s="12"/>
      <c r="J154" s="12"/>
      <c r="K154" s="12"/>
      <c r="L154" s="12"/>
      <c r="M154" s="12"/>
      <c r="N154" s="12"/>
      <c r="O154" s="12"/>
      <c r="P154" s="12"/>
      <c r="Q154" s="12"/>
      <c r="R154" s="12"/>
      <c r="S154" s="12"/>
      <c r="T154" s="16"/>
    </row>
    <row r="155" spans="1:20" x14ac:dyDescent="0.25">
      <c r="A155" s="12"/>
      <c r="B155" s="12"/>
      <c r="C155" s="12"/>
      <c r="D155" s="12"/>
      <c r="E155" s="13"/>
      <c r="F155" s="14">
        <f>IF(E155="","",E155-TODAY())</f>
      </c>
      <c r="G155" s="13"/>
      <c r="H155" s="15"/>
      <c r="I155" s="12"/>
      <c r="J155" s="12"/>
      <c r="K155" s="12"/>
      <c r="L155" s="12"/>
      <c r="M155" s="12"/>
      <c r="N155" s="12"/>
      <c r="O155" s="12"/>
      <c r="P155" s="12"/>
      <c r="Q155" s="12"/>
      <c r="R155" s="12"/>
      <c r="S155" s="12"/>
      <c r="T155" s="16"/>
    </row>
    <row r="156" spans="1:20" x14ac:dyDescent="0.25">
      <c r="A156" s="12"/>
      <c r="B156" s="12"/>
      <c r="C156" s="12"/>
      <c r="D156" s="12"/>
      <c r="E156" s="13"/>
      <c r="F156" s="14">
        <f>IF(E156="","",E156-TODAY())</f>
      </c>
      <c r="G156" s="13"/>
      <c r="H156" s="15"/>
      <c r="I156" s="12"/>
      <c r="J156" s="12"/>
      <c r="K156" s="12"/>
      <c r="L156" s="12"/>
      <c r="M156" s="12"/>
      <c r="N156" s="12"/>
      <c r="O156" s="12"/>
      <c r="P156" s="12"/>
      <c r="Q156" s="12"/>
      <c r="R156" s="12"/>
      <c r="S156" s="12"/>
      <c r="T156" s="16"/>
    </row>
    <row r="157" spans="1:20" x14ac:dyDescent="0.25">
      <c r="A157" s="12"/>
      <c r="B157" s="12"/>
      <c r="C157" s="12"/>
      <c r="D157" s="12"/>
      <c r="E157" s="13"/>
      <c r="F157" s="14">
        <f>IF(E157="","",E157-TODAY())</f>
      </c>
      <c r="G157" s="13"/>
      <c r="H157" s="15"/>
      <c r="I157" s="12"/>
      <c r="J157" s="12"/>
      <c r="K157" s="12"/>
      <c r="L157" s="12"/>
      <c r="M157" s="12"/>
      <c r="N157" s="12"/>
      <c r="O157" s="12"/>
      <c r="P157" s="12"/>
      <c r="Q157" s="12"/>
      <c r="R157" s="12"/>
      <c r="S157" s="12"/>
      <c r="T157" s="16"/>
    </row>
    <row r="158" spans="1:20" x14ac:dyDescent="0.25">
      <c r="A158" s="12"/>
      <c r="B158" s="12"/>
      <c r="C158" s="12"/>
      <c r="D158" s="12"/>
      <c r="E158" s="13"/>
      <c r="F158" s="14">
        <f>IF(E158="","",E158-TODAY())</f>
      </c>
      <c r="G158" s="13"/>
      <c r="H158" s="15"/>
      <c r="I158" s="12"/>
      <c r="J158" s="12"/>
      <c r="K158" s="12"/>
      <c r="L158" s="12"/>
      <c r="M158" s="12"/>
      <c r="N158" s="12"/>
      <c r="O158" s="12"/>
      <c r="P158" s="12"/>
      <c r="Q158" s="12"/>
      <c r="R158" s="12"/>
      <c r="S158" s="12"/>
      <c r="T158" s="16"/>
    </row>
    <row r="159" spans="1:20" x14ac:dyDescent="0.25">
      <c r="A159" s="12"/>
      <c r="B159" s="12"/>
      <c r="C159" s="12"/>
      <c r="D159" s="12"/>
      <c r="E159" s="13"/>
      <c r="F159" s="14">
        <f>IF(E159="","",E159-TODAY())</f>
      </c>
      <c r="G159" s="13"/>
      <c r="H159" s="15"/>
      <c r="I159" s="12"/>
      <c r="J159" s="12"/>
      <c r="K159" s="12"/>
      <c r="L159" s="12"/>
      <c r="M159" s="12"/>
      <c r="N159" s="12"/>
      <c r="O159" s="12"/>
      <c r="P159" s="12"/>
      <c r="Q159" s="12"/>
      <c r="R159" s="12"/>
      <c r="S159" s="12"/>
      <c r="T159" s="16"/>
    </row>
    <row r="160" spans="1:20" x14ac:dyDescent="0.25">
      <c r="A160" s="12"/>
      <c r="B160" s="12"/>
      <c r="C160" s="12"/>
      <c r="D160" s="12"/>
      <c r="E160" s="13"/>
      <c r="F160" s="14">
        <f>IF(E160="","",E160-TODAY())</f>
      </c>
      <c r="G160" s="13"/>
      <c r="H160" s="15"/>
      <c r="I160" s="12"/>
      <c r="J160" s="12"/>
      <c r="K160" s="12"/>
      <c r="L160" s="12"/>
      <c r="M160" s="12"/>
      <c r="N160" s="12"/>
      <c r="O160" s="12"/>
      <c r="P160" s="12"/>
      <c r="Q160" s="12"/>
      <c r="R160" s="12"/>
      <c r="S160" s="12"/>
      <c r="T160" s="16"/>
    </row>
    <row r="161" spans="1:20" x14ac:dyDescent="0.25">
      <c r="A161" s="12"/>
      <c r="B161" s="12"/>
      <c r="C161" s="12"/>
      <c r="D161" s="12"/>
      <c r="E161" s="13"/>
      <c r="F161" s="14">
        <f>IF(E161="","",E161-TODAY())</f>
      </c>
      <c r="G161" s="13"/>
      <c r="H161" s="15"/>
      <c r="I161" s="12"/>
      <c r="J161" s="12"/>
      <c r="K161" s="12"/>
      <c r="L161" s="12"/>
      <c r="M161" s="12"/>
      <c r="N161" s="12"/>
      <c r="O161" s="12"/>
      <c r="P161" s="12"/>
      <c r="Q161" s="12"/>
      <c r="R161" s="12"/>
      <c r="S161" s="12"/>
      <c r="T161" s="16"/>
    </row>
    <row r="162" spans="1:20" x14ac:dyDescent="0.25">
      <c r="A162" s="12"/>
      <c r="B162" s="12"/>
      <c r="C162" s="12"/>
      <c r="D162" s="12"/>
      <c r="E162" s="13"/>
      <c r="F162" s="14">
        <f>IF(E162="","",E162-TODAY())</f>
      </c>
      <c r="G162" s="13"/>
      <c r="H162" s="15"/>
      <c r="I162" s="12"/>
      <c r="J162" s="12"/>
      <c r="K162" s="12"/>
      <c r="L162" s="12"/>
      <c r="M162" s="12"/>
      <c r="N162" s="12"/>
      <c r="O162" s="12"/>
      <c r="P162" s="12"/>
      <c r="Q162" s="12"/>
      <c r="R162" s="12"/>
      <c r="S162" s="12"/>
      <c r="T162" s="16"/>
    </row>
    <row r="163" spans="1:20" x14ac:dyDescent="0.25">
      <c r="A163" s="12"/>
      <c r="B163" s="12"/>
      <c r="C163" s="12"/>
      <c r="D163" s="12"/>
      <c r="E163" s="13"/>
      <c r="F163" s="14">
        <f>IF(E163="","",E163-TODAY())</f>
      </c>
      <c r="G163" s="13"/>
      <c r="H163" s="15"/>
      <c r="I163" s="12"/>
      <c r="J163" s="12"/>
      <c r="K163" s="12"/>
      <c r="L163" s="12"/>
      <c r="M163" s="12"/>
      <c r="N163" s="12"/>
      <c r="O163" s="12"/>
      <c r="P163" s="12"/>
      <c r="Q163" s="12"/>
      <c r="R163" s="12"/>
      <c r="S163" s="12"/>
      <c r="T163" s="16"/>
    </row>
    <row r="164" spans="1:20" x14ac:dyDescent="0.25">
      <c r="A164" s="12"/>
      <c r="B164" s="12"/>
      <c r="C164" s="12"/>
      <c r="D164" s="12"/>
      <c r="E164" s="13"/>
      <c r="F164" s="14">
        <f>IF(E164="","",E164-TODAY())</f>
      </c>
      <c r="G164" s="13"/>
      <c r="H164" s="15"/>
      <c r="I164" s="12"/>
      <c r="J164" s="12"/>
      <c r="K164" s="12"/>
      <c r="L164" s="12"/>
      <c r="M164" s="12"/>
      <c r="N164" s="12"/>
      <c r="O164" s="12"/>
      <c r="P164" s="12"/>
      <c r="Q164" s="12"/>
      <c r="R164" s="12"/>
      <c r="S164" s="12"/>
      <c r="T164" s="16"/>
    </row>
    <row r="165" spans="1:20" x14ac:dyDescent="0.25">
      <c r="A165" s="12"/>
      <c r="B165" s="12"/>
      <c r="C165" s="12"/>
      <c r="D165" s="12"/>
      <c r="E165" s="13"/>
      <c r="F165" s="14">
        <f>IF(E165="","",E165-TODAY())</f>
      </c>
      <c r="G165" s="13"/>
      <c r="H165" s="15"/>
      <c r="I165" s="12"/>
      <c r="J165" s="12"/>
      <c r="K165" s="12"/>
      <c r="L165" s="12"/>
      <c r="M165" s="12"/>
      <c r="N165" s="12"/>
      <c r="O165" s="12"/>
      <c r="P165" s="12"/>
      <c r="Q165" s="12"/>
      <c r="R165" s="12"/>
      <c r="S165" s="12"/>
      <c r="T165" s="16"/>
    </row>
    <row r="166" spans="1:20" x14ac:dyDescent="0.25">
      <c r="A166" s="12"/>
      <c r="B166" s="12"/>
      <c r="C166" s="12"/>
      <c r="D166" s="12"/>
      <c r="E166" s="13"/>
      <c r="F166" s="14">
        <f>IF(E166="","",E166-TODAY())</f>
      </c>
      <c r="G166" s="13"/>
      <c r="H166" s="15"/>
      <c r="I166" s="12"/>
      <c r="J166" s="12"/>
      <c r="K166" s="12"/>
      <c r="L166" s="12"/>
      <c r="M166" s="12"/>
      <c r="N166" s="12"/>
      <c r="O166" s="12"/>
      <c r="P166" s="12"/>
      <c r="Q166" s="12"/>
      <c r="R166" s="12"/>
      <c r="S166" s="12"/>
      <c r="T166" s="16"/>
    </row>
    <row r="167" spans="1:20" x14ac:dyDescent="0.25">
      <c r="A167" s="12"/>
      <c r="B167" s="12"/>
      <c r="C167" s="12"/>
      <c r="D167" s="12"/>
      <c r="E167" s="13"/>
      <c r="F167" s="14">
        <f>IF(E167="","",E167-TODAY())</f>
      </c>
      <c r="G167" s="13"/>
      <c r="H167" s="15"/>
      <c r="I167" s="12"/>
      <c r="J167" s="12"/>
      <c r="K167" s="12"/>
      <c r="L167" s="12"/>
      <c r="M167" s="12"/>
      <c r="N167" s="12"/>
      <c r="O167" s="12"/>
      <c r="P167" s="12"/>
      <c r="Q167" s="12"/>
      <c r="R167" s="12"/>
      <c r="S167" s="12"/>
      <c r="T167" s="16"/>
    </row>
    <row r="168" spans="1:20" x14ac:dyDescent="0.25">
      <c r="A168" s="12"/>
      <c r="B168" s="12"/>
      <c r="C168" s="12"/>
      <c r="D168" s="12"/>
      <c r="E168" s="13"/>
      <c r="F168" s="14">
        <f>IF(E168="","",E168-TODAY())</f>
      </c>
      <c r="G168" s="13"/>
      <c r="H168" s="15"/>
      <c r="I168" s="12"/>
      <c r="J168" s="12"/>
      <c r="K168" s="12"/>
      <c r="L168" s="12"/>
      <c r="M168" s="12"/>
      <c r="N168" s="12"/>
      <c r="O168" s="12"/>
      <c r="P168" s="12"/>
      <c r="Q168" s="12"/>
      <c r="R168" s="12"/>
      <c r="S168" s="12"/>
      <c r="T168" s="16"/>
    </row>
    <row r="169" spans="1:20" x14ac:dyDescent="0.25">
      <c r="A169" s="12"/>
      <c r="B169" s="12"/>
      <c r="C169" s="12"/>
      <c r="D169" s="12"/>
      <c r="E169" s="13"/>
      <c r="F169" s="14">
        <f>IF(E169="","",E169-TODAY())</f>
      </c>
      <c r="G169" s="13"/>
      <c r="H169" s="15"/>
      <c r="I169" s="12"/>
      <c r="J169" s="12"/>
      <c r="K169" s="12"/>
      <c r="L169" s="12"/>
      <c r="M169" s="12"/>
      <c r="N169" s="12"/>
      <c r="O169" s="12"/>
      <c r="P169" s="12"/>
      <c r="Q169" s="12"/>
      <c r="R169" s="12"/>
      <c r="S169" s="12"/>
      <c r="T169" s="16"/>
    </row>
    <row r="170" spans="1:20" x14ac:dyDescent="0.25">
      <c r="A170" s="12"/>
      <c r="B170" s="12"/>
      <c r="C170" s="12"/>
      <c r="D170" s="12"/>
      <c r="E170" s="13"/>
      <c r="F170" s="14">
        <f>IF(E170="","",E170-TODAY())</f>
      </c>
      <c r="G170" s="13"/>
      <c r="H170" s="15"/>
      <c r="I170" s="12"/>
      <c r="J170" s="12"/>
      <c r="K170" s="12"/>
      <c r="L170" s="12"/>
      <c r="M170" s="12"/>
      <c r="N170" s="12"/>
      <c r="O170" s="12"/>
      <c r="P170" s="12"/>
      <c r="Q170" s="12"/>
      <c r="R170" s="12"/>
      <c r="S170" s="12"/>
      <c r="T170" s="16"/>
    </row>
    <row r="171" spans="1:20" x14ac:dyDescent="0.25">
      <c r="A171" s="12"/>
      <c r="B171" s="12"/>
      <c r="C171" s="12"/>
      <c r="D171" s="12"/>
      <c r="E171" s="13"/>
      <c r="F171" s="14">
        <f>IF(E171="","",E171-TODAY())</f>
      </c>
      <c r="G171" s="13"/>
      <c r="H171" s="15"/>
      <c r="I171" s="12"/>
      <c r="J171" s="12"/>
      <c r="K171" s="12"/>
      <c r="L171" s="12"/>
      <c r="M171" s="12"/>
      <c r="N171" s="12"/>
      <c r="O171" s="12"/>
      <c r="P171" s="12"/>
      <c r="Q171" s="12"/>
      <c r="R171" s="12"/>
      <c r="S171" s="12"/>
      <c r="T171" s="16"/>
    </row>
    <row r="172" spans="1:20" x14ac:dyDescent="0.25">
      <c r="A172" s="12"/>
      <c r="B172" s="12"/>
      <c r="C172" s="12"/>
      <c r="D172" s="12"/>
      <c r="E172" s="13"/>
      <c r="F172" s="14">
        <f>IF(E172="","",E172-TODAY())</f>
      </c>
      <c r="G172" s="13"/>
      <c r="H172" s="15"/>
      <c r="I172" s="12"/>
      <c r="J172" s="12"/>
      <c r="K172" s="12"/>
      <c r="L172" s="12"/>
      <c r="M172" s="12"/>
      <c r="N172" s="12"/>
      <c r="O172" s="12"/>
      <c r="P172" s="12"/>
      <c r="Q172" s="12"/>
      <c r="R172" s="12"/>
      <c r="S172" s="12"/>
      <c r="T172" s="16"/>
    </row>
    <row r="173" spans="1:20" x14ac:dyDescent="0.25">
      <c r="A173" s="12"/>
      <c r="B173" s="12"/>
      <c r="C173" s="12"/>
      <c r="D173" s="12"/>
      <c r="E173" s="13"/>
      <c r="F173" s="14">
        <f>IF(E173="","",E173-TODAY())</f>
      </c>
      <c r="G173" s="13"/>
      <c r="H173" s="15"/>
      <c r="I173" s="12"/>
      <c r="J173" s="12"/>
      <c r="K173" s="12"/>
      <c r="L173" s="12"/>
      <c r="M173" s="12"/>
      <c r="N173" s="12"/>
      <c r="O173" s="12"/>
      <c r="P173" s="12"/>
      <c r="Q173" s="12"/>
      <c r="R173" s="12"/>
      <c r="S173" s="12"/>
      <c r="T173" s="16"/>
    </row>
    <row r="174" spans="1:20" x14ac:dyDescent="0.25">
      <c r="A174" s="12"/>
      <c r="B174" s="12"/>
      <c r="C174" s="12"/>
      <c r="D174" s="12"/>
      <c r="E174" s="13"/>
      <c r="F174" s="14">
        <f>IF(E174="","",E174-TODAY())</f>
      </c>
      <c r="G174" s="13"/>
      <c r="H174" s="15"/>
      <c r="I174" s="12"/>
      <c r="J174" s="12"/>
      <c r="K174" s="12"/>
      <c r="L174" s="12"/>
      <c r="M174" s="12"/>
      <c r="N174" s="12"/>
      <c r="O174" s="12"/>
      <c r="P174" s="12"/>
      <c r="Q174" s="12"/>
      <c r="R174" s="12"/>
      <c r="S174" s="12"/>
      <c r="T174" s="16"/>
    </row>
    <row r="175" spans="1:20" x14ac:dyDescent="0.25">
      <c r="A175" s="12"/>
      <c r="B175" s="12"/>
      <c r="C175" s="12"/>
      <c r="D175" s="12"/>
      <c r="E175" s="13"/>
      <c r="F175" s="14">
        <f>IF(E175="","",E175-TODAY())</f>
      </c>
      <c r="G175" s="13"/>
      <c r="H175" s="15"/>
      <c r="I175" s="12"/>
      <c r="J175" s="12"/>
      <c r="K175" s="12"/>
      <c r="L175" s="12"/>
      <c r="M175" s="12"/>
      <c r="N175" s="12"/>
      <c r="O175" s="12"/>
      <c r="P175" s="12"/>
      <c r="Q175" s="12"/>
      <c r="R175" s="12"/>
      <c r="S175" s="12"/>
      <c r="T175" s="16"/>
    </row>
    <row r="176" spans="1:20" x14ac:dyDescent="0.25">
      <c r="A176" s="12"/>
      <c r="B176" s="12"/>
      <c r="C176" s="12"/>
      <c r="D176" s="12"/>
      <c r="E176" s="13"/>
      <c r="F176" s="14">
        <f>IF(E176="","",E176-TODAY())</f>
      </c>
      <c r="G176" s="13"/>
      <c r="H176" s="15"/>
      <c r="I176" s="12"/>
      <c r="J176" s="12"/>
      <c r="K176" s="12"/>
      <c r="L176" s="12"/>
      <c r="M176" s="12"/>
      <c r="N176" s="12"/>
      <c r="O176" s="12"/>
      <c r="P176" s="12"/>
      <c r="Q176" s="12"/>
      <c r="R176" s="12"/>
      <c r="S176" s="12"/>
      <c r="T176" s="16"/>
    </row>
    <row r="177" spans="1:20" x14ac:dyDescent="0.25">
      <c r="A177" s="12"/>
      <c r="B177" s="12"/>
      <c r="C177" s="12"/>
      <c r="D177" s="12"/>
      <c r="E177" s="13"/>
      <c r="F177" s="14">
        <f>IF(E177="","",E177-TODAY())</f>
      </c>
      <c r="G177" s="13"/>
      <c r="H177" s="15"/>
      <c r="I177" s="12"/>
      <c r="J177" s="12"/>
      <c r="K177" s="12"/>
      <c r="L177" s="12"/>
      <c r="M177" s="12"/>
      <c r="N177" s="12"/>
      <c r="O177" s="12"/>
      <c r="P177" s="12"/>
      <c r="Q177" s="12"/>
      <c r="R177" s="12"/>
      <c r="S177" s="12"/>
      <c r="T177" s="16"/>
    </row>
    <row r="178" spans="1:20" x14ac:dyDescent="0.25">
      <c r="A178" s="12"/>
      <c r="B178" s="12"/>
      <c r="C178" s="12"/>
      <c r="D178" s="12"/>
      <c r="E178" s="13"/>
      <c r="F178" s="14">
        <f>IF(E178="","",E178-TODAY())</f>
      </c>
      <c r="G178" s="13"/>
      <c r="H178" s="15"/>
      <c r="I178" s="12"/>
      <c r="J178" s="12"/>
      <c r="K178" s="12"/>
      <c r="L178" s="12"/>
      <c r="M178" s="12"/>
      <c r="N178" s="12"/>
      <c r="O178" s="12"/>
      <c r="P178" s="12"/>
      <c r="Q178" s="12"/>
      <c r="R178" s="12"/>
      <c r="S178" s="12"/>
      <c r="T178" s="16"/>
    </row>
    <row r="179" spans="1:20" x14ac:dyDescent="0.25">
      <c r="A179" s="12"/>
      <c r="B179" s="12"/>
      <c r="C179" s="12"/>
      <c r="D179" s="12"/>
      <c r="E179" s="13"/>
      <c r="F179" s="14">
        <f>IF(E179="","",E179-TODAY())</f>
      </c>
      <c r="G179" s="13"/>
      <c r="H179" s="15"/>
      <c r="I179" s="12"/>
      <c r="J179" s="12"/>
      <c r="K179" s="12"/>
      <c r="L179" s="12"/>
      <c r="M179" s="12"/>
      <c r="N179" s="12"/>
      <c r="O179" s="12"/>
      <c r="P179" s="12"/>
      <c r="Q179" s="12"/>
      <c r="R179" s="12"/>
      <c r="S179" s="12"/>
      <c r="T179" s="16"/>
    </row>
    <row r="180" spans="1:20" x14ac:dyDescent="0.25">
      <c r="A180" s="12"/>
      <c r="B180" s="12"/>
      <c r="C180" s="12"/>
      <c r="D180" s="12"/>
      <c r="E180" s="13"/>
      <c r="F180" s="14">
        <f>IF(E180="","",E180-TODAY())</f>
      </c>
      <c r="G180" s="13"/>
      <c r="H180" s="15"/>
      <c r="I180" s="12"/>
      <c r="J180" s="12"/>
      <c r="K180" s="12"/>
      <c r="L180" s="12"/>
      <c r="M180" s="12"/>
      <c r="N180" s="12"/>
      <c r="O180" s="12"/>
      <c r="P180" s="12"/>
      <c r="Q180" s="12"/>
      <c r="R180" s="12"/>
      <c r="S180" s="12"/>
      <c r="T180" s="16"/>
    </row>
    <row r="181" spans="1:20" x14ac:dyDescent="0.25">
      <c r="A181" s="12"/>
      <c r="B181" s="12"/>
      <c r="C181" s="12"/>
      <c r="D181" s="12"/>
      <c r="E181" s="13"/>
      <c r="F181" s="14">
        <f>IF(E181="","",E181-TODAY())</f>
      </c>
      <c r="G181" s="13"/>
      <c r="H181" s="15"/>
      <c r="I181" s="12"/>
      <c r="J181" s="12"/>
      <c r="K181" s="12"/>
      <c r="L181" s="12"/>
      <c r="M181" s="12"/>
      <c r="N181" s="12"/>
      <c r="O181" s="12"/>
      <c r="P181" s="12"/>
      <c r="Q181" s="12"/>
      <c r="R181" s="12"/>
      <c r="S181" s="12"/>
      <c r="T181" s="16"/>
    </row>
    <row r="182" spans="1:20" x14ac:dyDescent="0.25">
      <c r="A182" s="12"/>
      <c r="B182" s="12"/>
      <c r="C182" s="12"/>
      <c r="D182" s="12"/>
      <c r="E182" s="13"/>
      <c r="F182" s="14">
        <f>IF(E182="","",E182-TODAY())</f>
      </c>
      <c r="G182" s="13"/>
      <c r="H182" s="15"/>
      <c r="I182" s="12"/>
      <c r="J182" s="12"/>
      <c r="K182" s="12"/>
      <c r="L182" s="12"/>
      <c r="M182" s="12"/>
      <c r="N182" s="12"/>
      <c r="O182" s="12"/>
      <c r="P182" s="12"/>
      <c r="Q182" s="12"/>
      <c r="R182" s="12"/>
      <c r="S182" s="12"/>
      <c r="T182" s="16"/>
    </row>
    <row r="183" spans="1:20" x14ac:dyDescent="0.25">
      <c r="A183" s="12"/>
      <c r="B183" s="12"/>
      <c r="C183" s="12"/>
      <c r="D183" s="12"/>
      <c r="E183" s="13"/>
      <c r="F183" s="14">
        <f>IF(E183="","",E183-TODAY())</f>
      </c>
      <c r="G183" s="13"/>
      <c r="H183" s="15"/>
      <c r="I183" s="12"/>
      <c r="J183" s="12"/>
      <c r="K183" s="12"/>
      <c r="L183" s="12"/>
      <c r="M183" s="12"/>
      <c r="N183" s="12"/>
      <c r="O183" s="12"/>
      <c r="P183" s="12"/>
      <c r="Q183" s="12"/>
      <c r="R183" s="12"/>
      <c r="S183" s="12"/>
      <c r="T183" s="16"/>
    </row>
    <row r="184" spans="1:20" x14ac:dyDescent="0.25">
      <c r="A184" s="12"/>
      <c r="B184" s="12"/>
      <c r="C184" s="12"/>
      <c r="D184" s="12"/>
      <c r="E184" s="13"/>
      <c r="F184" s="14">
        <f>IF(E184="","",E184-TODAY())</f>
      </c>
      <c r="G184" s="13"/>
      <c r="H184" s="15"/>
      <c r="I184" s="12"/>
      <c r="J184" s="12"/>
      <c r="K184" s="12"/>
      <c r="L184" s="12"/>
      <c r="M184" s="12"/>
      <c r="N184" s="12"/>
      <c r="O184" s="12"/>
      <c r="P184" s="12"/>
      <c r="Q184" s="12"/>
      <c r="R184" s="12"/>
      <c r="S184" s="12"/>
      <c r="T184" s="16"/>
    </row>
    <row r="185" spans="1:20" x14ac:dyDescent="0.25">
      <c r="A185" s="12"/>
      <c r="B185" s="12"/>
      <c r="C185" s="12"/>
      <c r="D185" s="12"/>
      <c r="E185" s="13"/>
      <c r="F185" s="14">
        <f>IF(E185="","",E185-TODAY())</f>
      </c>
      <c r="G185" s="13"/>
      <c r="H185" s="15"/>
      <c r="I185" s="12"/>
      <c r="J185" s="12"/>
      <c r="K185" s="12"/>
      <c r="L185" s="12"/>
      <c r="M185" s="12"/>
      <c r="N185" s="12"/>
      <c r="O185" s="12"/>
      <c r="P185" s="12"/>
      <c r="Q185" s="12"/>
      <c r="R185" s="12"/>
      <c r="S185" s="12"/>
      <c r="T185" s="16"/>
    </row>
    <row r="186" spans="1:20" x14ac:dyDescent="0.25">
      <c r="A186" s="12"/>
      <c r="B186" s="12"/>
      <c r="C186" s="12"/>
      <c r="D186" s="12"/>
      <c r="E186" s="13"/>
      <c r="F186" s="14">
        <f>IF(E186="","",E186-TODAY())</f>
      </c>
      <c r="G186" s="13"/>
      <c r="H186" s="15"/>
      <c r="I186" s="12"/>
      <c r="J186" s="12"/>
      <c r="K186" s="12"/>
      <c r="L186" s="12"/>
      <c r="M186" s="12"/>
      <c r="N186" s="12"/>
      <c r="O186" s="12"/>
      <c r="P186" s="12"/>
      <c r="Q186" s="12"/>
      <c r="R186" s="12"/>
      <c r="S186" s="12"/>
      <c r="T186" s="16"/>
    </row>
    <row r="187" spans="1:20" x14ac:dyDescent="0.25">
      <c r="A187" s="12"/>
      <c r="B187" s="12"/>
      <c r="C187" s="12"/>
      <c r="D187" s="12"/>
      <c r="E187" s="13"/>
      <c r="F187" s="14">
        <f>IF(E187="","",E187-TODAY())</f>
      </c>
      <c r="G187" s="13"/>
      <c r="H187" s="15"/>
      <c r="I187" s="12"/>
      <c r="J187" s="12"/>
      <c r="K187" s="12"/>
      <c r="L187" s="12"/>
      <c r="M187" s="12"/>
      <c r="N187" s="12"/>
      <c r="O187" s="12"/>
      <c r="P187" s="12"/>
      <c r="Q187" s="12"/>
      <c r="R187" s="12"/>
      <c r="S187" s="12"/>
      <c r="T187" s="16"/>
    </row>
    <row r="188" spans="1:20" x14ac:dyDescent="0.25">
      <c r="A188" s="12"/>
      <c r="B188" s="12"/>
      <c r="C188" s="12"/>
      <c r="D188" s="12"/>
      <c r="E188" s="13"/>
      <c r="F188" s="14">
        <f>IF(E188="","",E188-TODAY())</f>
      </c>
      <c r="G188" s="13"/>
      <c r="H188" s="15"/>
      <c r="I188" s="12"/>
      <c r="J188" s="12"/>
      <c r="K188" s="12"/>
      <c r="L188" s="12"/>
      <c r="M188" s="12"/>
      <c r="N188" s="12"/>
      <c r="O188" s="12"/>
      <c r="P188" s="12"/>
      <c r="Q188" s="12"/>
      <c r="R188" s="12"/>
      <c r="S188" s="12"/>
      <c r="T188" s="16"/>
    </row>
    <row r="189" spans="1:20" x14ac:dyDescent="0.25">
      <c r="A189" s="12"/>
      <c r="B189" s="12"/>
      <c r="C189" s="12"/>
      <c r="D189" s="12"/>
      <c r="E189" s="13"/>
      <c r="F189" s="14">
        <f>IF(E189="","",E189-TODAY())</f>
      </c>
      <c r="G189" s="13"/>
      <c r="H189" s="15"/>
      <c r="I189" s="12"/>
      <c r="J189" s="12"/>
      <c r="K189" s="12"/>
      <c r="L189" s="12"/>
      <c r="M189" s="12"/>
      <c r="N189" s="12"/>
      <c r="O189" s="12"/>
      <c r="P189" s="12"/>
      <c r="Q189" s="12"/>
      <c r="R189" s="12"/>
      <c r="S189" s="12"/>
      <c r="T189" s="16"/>
    </row>
    <row r="190" spans="1:20" x14ac:dyDescent="0.25">
      <c r="A190" s="12"/>
      <c r="B190" s="12"/>
      <c r="C190" s="12"/>
      <c r="D190" s="12"/>
      <c r="E190" s="13"/>
      <c r="F190" s="14">
        <f>IF(E190="","",E190-TODAY())</f>
      </c>
      <c r="G190" s="13"/>
      <c r="H190" s="15"/>
      <c r="I190" s="12"/>
      <c r="J190" s="12"/>
      <c r="K190" s="12"/>
      <c r="L190" s="12"/>
      <c r="M190" s="12"/>
      <c r="N190" s="12"/>
      <c r="O190" s="12"/>
      <c r="P190" s="12"/>
      <c r="Q190" s="12"/>
      <c r="R190" s="12"/>
      <c r="S190" s="12"/>
      <c r="T190" s="16"/>
    </row>
    <row r="191" spans="1:20" x14ac:dyDescent="0.25">
      <c r="A191" s="12"/>
      <c r="B191" s="12"/>
      <c r="C191" s="12"/>
      <c r="D191" s="12"/>
      <c r="E191" s="13"/>
      <c r="F191" s="14">
        <f>IF(E191="","",E191-TODAY())</f>
      </c>
      <c r="G191" s="13"/>
      <c r="H191" s="15"/>
      <c r="I191" s="12"/>
      <c r="J191" s="12"/>
      <c r="K191" s="12"/>
      <c r="L191" s="12"/>
      <c r="M191" s="12"/>
      <c r="N191" s="12"/>
      <c r="O191" s="12"/>
      <c r="P191" s="12"/>
      <c r="Q191" s="12"/>
      <c r="R191" s="12"/>
      <c r="S191" s="12"/>
      <c r="T191" s="16"/>
    </row>
    <row r="192" spans="1:20" x14ac:dyDescent="0.25">
      <c r="A192" s="12"/>
      <c r="B192" s="12"/>
      <c r="C192" s="12"/>
      <c r="D192" s="12"/>
      <c r="E192" s="13"/>
      <c r="F192" s="14">
        <f>IF(E192="","",E192-TODAY())</f>
      </c>
      <c r="G192" s="13"/>
      <c r="H192" s="15"/>
      <c r="I192" s="12"/>
      <c r="J192" s="12"/>
      <c r="K192" s="12"/>
      <c r="L192" s="12"/>
      <c r="M192" s="12"/>
      <c r="N192" s="12"/>
      <c r="O192" s="12"/>
      <c r="P192" s="12"/>
      <c r="Q192" s="12"/>
      <c r="R192" s="12"/>
      <c r="S192" s="12"/>
      <c r="T192" s="16"/>
    </row>
    <row r="193" spans="1:20" x14ac:dyDescent="0.25">
      <c r="A193" s="12"/>
      <c r="B193" s="12"/>
      <c r="C193" s="12"/>
      <c r="D193" s="12"/>
      <c r="E193" s="13"/>
      <c r="F193" s="14">
        <f>IF(E193="","",E193-TODAY())</f>
      </c>
      <c r="G193" s="13"/>
      <c r="H193" s="15"/>
      <c r="I193" s="12"/>
      <c r="J193" s="12"/>
      <c r="K193" s="12"/>
      <c r="L193" s="12"/>
      <c r="M193" s="12"/>
      <c r="N193" s="12"/>
      <c r="O193" s="12"/>
      <c r="P193" s="12"/>
      <c r="Q193" s="12"/>
      <c r="R193" s="12"/>
      <c r="S193" s="12"/>
      <c r="T193" s="16"/>
    </row>
    <row r="194" spans="1:20" x14ac:dyDescent="0.25">
      <c r="A194" s="12"/>
      <c r="B194" s="12"/>
      <c r="C194" s="12"/>
      <c r="D194" s="12"/>
      <c r="E194" s="13"/>
      <c r="F194" s="14">
        <f>IF(E194="","",E194-TODAY())</f>
      </c>
      <c r="G194" s="13"/>
      <c r="H194" s="15"/>
      <c r="I194" s="12"/>
      <c r="J194" s="12"/>
      <c r="K194" s="12"/>
      <c r="L194" s="12"/>
      <c r="M194" s="12"/>
      <c r="N194" s="12"/>
      <c r="O194" s="12"/>
      <c r="P194" s="12"/>
      <c r="Q194" s="12"/>
      <c r="R194" s="12"/>
      <c r="S194" s="12"/>
      <c r="T194" s="16"/>
    </row>
    <row r="195" spans="1:20" x14ac:dyDescent="0.25">
      <c r="A195" s="12"/>
      <c r="B195" s="12"/>
      <c r="C195" s="12"/>
      <c r="D195" s="12"/>
      <c r="E195" s="13"/>
      <c r="F195" s="14">
        <f>IF(E195="","",E195-TODAY())</f>
      </c>
      <c r="G195" s="13"/>
      <c r="H195" s="15"/>
      <c r="I195" s="12"/>
      <c r="J195" s="12"/>
      <c r="K195" s="12"/>
      <c r="L195" s="12"/>
      <c r="M195" s="12"/>
      <c r="N195" s="12"/>
      <c r="O195" s="12"/>
      <c r="P195" s="12"/>
      <c r="Q195" s="12"/>
      <c r="R195" s="12"/>
      <c r="S195" s="12"/>
      <c r="T195" s="16"/>
    </row>
    <row r="196" spans="1:20" x14ac:dyDescent="0.25">
      <c r="A196" s="12"/>
      <c r="B196" s="12"/>
      <c r="C196" s="12"/>
      <c r="D196" s="12"/>
      <c r="E196" s="13"/>
      <c r="F196" s="14">
        <f>IF(E196="","",E196-TODAY())</f>
      </c>
      <c r="G196" s="13"/>
      <c r="H196" s="15"/>
      <c r="I196" s="12"/>
      <c r="J196" s="12"/>
      <c r="K196" s="12"/>
      <c r="L196" s="12"/>
      <c r="M196" s="12"/>
      <c r="N196" s="12"/>
      <c r="O196" s="12"/>
      <c r="P196" s="12"/>
      <c r="Q196" s="12"/>
      <c r="R196" s="12"/>
      <c r="S196" s="12"/>
      <c r="T196" s="16"/>
    </row>
    <row r="197" spans="1:20" x14ac:dyDescent="0.25">
      <c r="A197" s="12"/>
      <c r="B197" s="12"/>
      <c r="C197" s="12"/>
      <c r="D197" s="12"/>
      <c r="E197" s="13"/>
      <c r="F197" s="14">
        <f>IF(E197="","",E197-TODAY())</f>
      </c>
      <c r="G197" s="13"/>
      <c r="H197" s="15"/>
      <c r="I197" s="12"/>
      <c r="J197" s="12"/>
      <c r="K197" s="12"/>
      <c r="L197" s="12"/>
      <c r="M197" s="12"/>
      <c r="N197" s="12"/>
      <c r="O197" s="12"/>
      <c r="P197" s="12"/>
      <c r="Q197" s="12"/>
      <c r="R197" s="12"/>
      <c r="S197" s="12"/>
      <c r="T197" s="16"/>
    </row>
    <row r="198" spans="1:20" x14ac:dyDescent="0.25">
      <c r="A198" s="12"/>
      <c r="B198" s="12"/>
      <c r="C198" s="12"/>
      <c r="D198" s="12"/>
      <c r="E198" s="13"/>
      <c r="F198" s="14">
        <f>IF(E198="","",E198-TODAY())</f>
      </c>
      <c r="G198" s="13"/>
      <c r="H198" s="15"/>
      <c r="I198" s="12"/>
      <c r="J198" s="12"/>
      <c r="K198" s="12"/>
      <c r="L198" s="12"/>
      <c r="M198" s="12"/>
      <c r="N198" s="12"/>
      <c r="O198" s="12"/>
      <c r="P198" s="12"/>
      <c r="Q198" s="12"/>
      <c r="R198" s="12"/>
      <c r="S198" s="12"/>
      <c r="T198" s="16"/>
    </row>
    <row r="199" spans="1:20" x14ac:dyDescent="0.25">
      <c r="A199" s="12"/>
      <c r="B199" s="12"/>
      <c r="C199" s="12"/>
      <c r="D199" s="12"/>
      <c r="E199" s="13"/>
      <c r="F199" s="14">
        <f>IF(E199="","",E199-TODAY())</f>
      </c>
      <c r="G199" s="13"/>
      <c r="H199" s="15"/>
      <c r="I199" s="12"/>
      <c r="J199" s="12"/>
      <c r="K199" s="12"/>
      <c r="L199" s="12"/>
      <c r="M199" s="12"/>
      <c r="N199" s="12"/>
      <c r="O199" s="12"/>
      <c r="P199" s="12"/>
      <c r="Q199" s="12"/>
      <c r="R199" s="12"/>
      <c r="S199" s="12"/>
      <c r="T199" s="16"/>
    </row>
    <row r="200" spans="1:20" x14ac:dyDescent="0.25">
      <c r="A200" s="12"/>
      <c r="B200" s="12"/>
      <c r="C200" s="12"/>
      <c r="D200" s="12"/>
      <c r="E200" s="13"/>
      <c r="F200" s="14">
        <f>IF(E200="","",E200-TODAY())</f>
      </c>
      <c r="G200" s="13"/>
      <c r="H200" s="15"/>
      <c r="I200" s="12"/>
      <c r="J200" s="12"/>
      <c r="K200" s="12"/>
      <c r="L200" s="12"/>
      <c r="M200" s="12"/>
      <c r="N200" s="12"/>
      <c r="O200" s="12"/>
      <c r="P200" s="12"/>
      <c r="Q200" s="12"/>
      <c r="R200" s="12"/>
      <c r="S200" s="12"/>
      <c r="T200" s="16"/>
    </row>
    <row r="201" spans="1:20" x14ac:dyDescent="0.25">
      <c r="A201" s="12"/>
      <c r="B201" s="12"/>
      <c r="C201" s="12"/>
      <c r="D201" s="12"/>
      <c r="E201" s="13"/>
      <c r="F201" s="14">
        <f>IF(E201="","",E201-TODAY())</f>
      </c>
      <c r="G201" s="13"/>
      <c r="H201" s="15"/>
      <c r="I201" s="12"/>
      <c r="J201" s="12"/>
      <c r="K201" s="12"/>
      <c r="L201" s="12"/>
      <c r="M201" s="12"/>
      <c r="N201" s="12"/>
      <c r="O201" s="12"/>
      <c r="P201" s="12"/>
      <c r="Q201" s="12"/>
      <c r="R201" s="12"/>
      <c r="S201" s="12"/>
      <c r="T201" s="16"/>
    </row>
    <row r="202" spans="1:20" x14ac:dyDescent="0.25">
      <c r="A202" s="12"/>
      <c r="B202" s="12"/>
      <c r="C202" s="12"/>
      <c r="D202" s="12"/>
      <c r="E202" s="13"/>
      <c r="F202" s="14">
        <f>IF(E202="","",E202-TODAY())</f>
      </c>
      <c r="G202" s="13"/>
      <c r="H202" s="15"/>
      <c r="I202" s="12"/>
      <c r="J202" s="12"/>
      <c r="K202" s="12"/>
      <c r="L202" s="12"/>
      <c r="M202" s="12"/>
      <c r="N202" s="12"/>
      <c r="O202" s="12"/>
      <c r="P202" s="12"/>
      <c r="Q202" s="12"/>
      <c r="R202" s="12"/>
      <c r="S202" s="12"/>
      <c r="T202" s="16"/>
    </row>
    <row r="203" spans="1:20" x14ac:dyDescent="0.25">
      <c r="A203" s="12"/>
      <c r="B203" s="12"/>
      <c r="C203" s="12"/>
      <c r="D203" s="12"/>
      <c r="E203" s="13"/>
      <c r="F203" s="14">
        <f>IF(E203="","",E203-TODAY())</f>
      </c>
      <c r="G203" s="13"/>
      <c r="H203" s="15"/>
      <c r="I203" s="12"/>
      <c r="J203" s="12"/>
      <c r="K203" s="12"/>
      <c r="L203" s="12"/>
      <c r="M203" s="12"/>
      <c r="N203" s="12"/>
      <c r="O203" s="12"/>
      <c r="P203" s="12"/>
      <c r="Q203" s="12"/>
      <c r="R203" s="12"/>
      <c r="S203" s="12"/>
      <c r="T203" s="16"/>
    </row>
    <row r="204" spans="1:20" x14ac:dyDescent="0.25">
      <c r="A204" s="12"/>
      <c r="B204" s="12"/>
      <c r="C204" s="12"/>
      <c r="D204" s="12"/>
      <c r="E204" s="13"/>
      <c r="F204" s="14">
        <f>IF(E204="","",E204-TODAY())</f>
      </c>
      <c r="G204" s="13"/>
      <c r="H204" s="15"/>
      <c r="I204" s="12"/>
      <c r="J204" s="12"/>
      <c r="K204" s="12"/>
      <c r="L204" s="12"/>
      <c r="M204" s="12"/>
      <c r="N204" s="12"/>
      <c r="O204" s="12"/>
      <c r="P204" s="12"/>
      <c r="Q204" s="12"/>
      <c r="R204" s="12"/>
      <c r="S204" s="12"/>
      <c r="T204" s="16"/>
    </row>
    <row r="205" spans="1:20" x14ac:dyDescent="0.25">
      <c r="A205" s="12"/>
      <c r="B205" s="12"/>
      <c r="C205" s="12"/>
      <c r="D205" s="12"/>
      <c r="E205" s="13"/>
      <c r="F205" s="14">
        <f>IF(E205="","",E205-TODAY())</f>
      </c>
      <c r="G205" s="13"/>
      <c r="H205" s="15"/>
      <c r="I205" s="12"/>
      <c r="J205" s="12"/>
      <c r="K205" s="12"/>
      <c r="L205" s="12"/>
      <c r="M205" s="12"/>
      <c r="N205" s="12"/>
      <c r="O205" s="12"/>
      <c r="P205" s="12"/>
      <c r="Q205" s="12"/>
      <c r="R205" s="12"/>
      <c r="S205" s="12"/>
      <c r="T205" s="16"/>
    </row>
    <row r="206" spans="1:20" x14ac:dyDescent="0.25">
      <c r="A206" s="12"/>
      <c r="B206" s="12"/>
      <c r="C206" s="12"/>
      <c r="D206" s="12"/>
      <c r="E206" s="13"/>
      <c r="F206" s="14">
        <f>IF(E206="","",E206-TODAY())</f>
      </c>
      <c r="G206" s="13"/>
      <c r="H206" s="15"/>
      <c r="I206" s="12"/>
      <c r="J206" s="12"/>
      <c r="K206" s="12"/>
      <c r="L206" s="12"/>
      <c r="M206" s="12"/>
      <c r="N206" s="12"/>
      <c r="O206" s="12"/>
      <c r="P206" s="12"/>
      <c r="Q206" s="12"/>
      <c r="R206" s="12"/>
      <c r="S206" s="12"/>
      <c r="T206" s="16"/>
    </row>
    <row r="207" spans="1:20" x14ac:dyDescent="0.25">
      <c r="A207" s="12"/>
      <c r="B207" s="12"/>
      <c r="C207" s="12"/>
      <c r="D207" s="12"/>
      <c r="E207" s="13"/>
      <c r="F207" s="14">
        <f>IF(E207="","",E207-TODAY())</f>
      </c>
      <c r="G207" s="13"/>
      <c r="H207" s="15"/>
      <c r="I207" s="12"/>
      <c r="J207" s="12"/>
      <c r="K207" s="12"/>
      <c r="L207" s="12"/>
      <c r="M207" s="12"/>
      <c r="N207" s="12"/>
      <c r="O207" s="12"/>
      <c r="P207" s="12"/>
      <c r="Q207" s="12"/>
      <c r="R207" s="12"/>
      <c r="S207" s="12"/>
      <c r="T207" s="16"/>
    </row>
    <row r="208" spans="1:20" x14ac:dyDescent="0.25">
      <c r="A208" s="12"/>
      <c r="B208" s="12"/>
      <c r="C208" s="12"/>
      <c r="D208" s="12"/>
      <c r="E208" s="13"/>
      <c r="F208" s="14">
        <f>IF(E208="","",E208-TODAY())</f>
      </c>
      <c r="G208" s="13"/>
      <c r="H208" s="15"/>
      <c r="I208" s="12"/>
      <c r="J208" s="12"/>
      <c r="K208" s="12"/>
      <c r="L208" s="12"/>
      <c r="M208" s="12"/>
      <c r="N208" s="12"/>
      <c r="O208" s="12"/>
      <c r="P208" s="12"/>
      <c r="Q208" s="12"/>
      <c r="R208" s="12"/>
      <c r="S208" s="12"/>
      <c r="T208" s="16"/>
    </row>
    <row r="209" spans="1:20" x14ac:dyDescent="0.25">
      <c r="A209" s="12"/>
      <c r="B209" s="12"/>
      <c r="C209" s="12"/>
      <c r="D209" s="12"/>
      <c r="E209" s="13"/>
      <c r="F209" s="14">
        <f>IF(E209="","",E209-TODAY())</f>
      </c>
      <c r="G209" s="13"/>
      <c r="H209" s="15"/>
      <c r="I209" s="12"/>
      <c r="J209" s="12"/>
      <c r="K209" s="12"/>
      <c r="L209" s="12"/>
      <c r="M209" s="12"/>
      <c r="N209" s="12"/>
      <c r="O209" s="12"/>
      <c r="P209" s="12"/>
      <c r="Q209" s="12"/>
      <c r="R209" s="12"/>
      <c r="S209" s="12"/>
      <c r="T209" s="16"/>
    </row>
    <row r="210" spans="1:20" x14ac:dyDescent="0.25">
      <c r="A210" s="12"/>
      <c r="B210" s="12"/>
      <c r="C210" s="12"/>
      <c r="D210" s="12"/>
      <c r="E210" s="13"/>
      <c r="F210" s="14">
        <f>IF(E210="","",E210-TODAY())</f>
      </c>
      <c r="G210" s="13"/>
      <c r="H210" s="15"/>
      <c r="I210" s="12"/>
      <c r="J210" s="12"/>
      <c r="K210" s="12"/>
      <c r="L210" s="12"/>
      <c r="M210" s="12"/>
      <c r="N210" s="12"/>
      <c r="O210" s="12"/>
      <c r="P210" s="12"/>
      <c r="Q210" s="12"/>
      <c r="R210" s="12"/>
      <c r="S210" s="12"/>
      <c r="T210" s="16"/>
    </row>
    <row r="211" spans="1:20" x14ac:dyDescent="0.25">
      <c r="A211" s="12"/>
      <c r="B211" s="12"/>
      <c r="C211" s="12"/>
      <c r="D211" s="12"/>
      <c r="E211" s="13"/>
      <c r="F211" s="14">
        <f>IF(E211="","",E211-TODAY())</f>
      </c>
      <c r="G211" s="13"/>
      <c r="H211" s="15"/>
      <c r="I211" s="12"/>
      <c r="J211" s="12"/>
      <c r="K211" s="12"/>
      <c r="L211" s="12"/>
      <c r="M211" s="12"/>
      <c r="N211" s="12"/>
      <c r="O211" s="12"/>
      <c r="P211" s="12"/>
      <c r="Q211" s="12"/>
      <c r="R211" s="12"/>
      <c r="S211" s="12"/>
      <c r="T211" s="16"/>
    </row>
    <row r="212" spans="1:20" x14ac:dyDescent="0.25">
      <c r="A212" s="12"/>
      <c r="B212" s="12"/>
      <c r="C212" s="12"/>
      <c r="D212" s="12"/>
      <c r="E212" s="13"/>
      <c r="F212" s="14">
        <f>IF(E212="","",E212-TODAY())</f>
      </c>
      <c r="G212" s="13"/>
      <c r="H212" s="15"/>
      <c r="I212" s="12"/>
      <c r="J212" s="12"/>
      <c r="K212" s="12"/>
      <c r="L212" s="12"/>
      <c r="M212" s="12"/>
      <c r="N212" s="12"/>
      <c r="O212" s="12"/>
      <c r="P212" s="12"/>
      <c r="Q212" s="12"/>
      <c r="R212" s="12"/>
      <c r="S212" s="12"/>
      <c r="T212" s="16"/>
    </row>
    <row r="213" spans="1:20" x14ac:dyDescent="0.25">
      <c r="A213" s="12"/>
      <c r="B213" s="12"/>
      <c r="C213" s="12"/>
      <c r="D213" s="12"/>
      <c r="E213" s="13"/>
      <c r="F213" s="14">
        <f>IF(E213="","",E213-TODAY())</f>
      </c>
      <c r="G213" s="13"/>
      <c r="H213" s="15"/>
      <c r="I213" s="12"/>
      <c r="J213" s="12"/>
      <c r="K213" s="12"/>
      <c r="L213" s="12"/>
      <c r="M213" s="12"/>
      <c r="N213" s="12"/>
      <c r="O213" s="12"/>
      <c r="P213" s="12"/>
      <c r="Q213" s="12"/>
      <c r="R213" s="12"/>
      <c r="S213" s="12"/>
      <c r="T213" s="16"/>
    </row>
    <row r="214" spans="1:20" x14ac:dyDescent="0.25">
      <c r="A214" s="12"/>
      <c r="B214" s="12"/>
      <c r="C214" s="12"/>
      <c r="D214" s="12"/>
      <c r="E214" s="13"/>
      <c r="F214" s="14">
        <f>IF(E214="","",E214-TODAY())</f>
      </c>
      <c r="G214" s="13"/>
      <c r="H214" s="15"/>
      <c r="I214" s="12"/>
      <c r="J214" s="12"/>
      <c r="K214" s="12"/>
      <c r="L214" s="12"/>
      <c r="M214" s="12"/>
      <c r="N214" s="12"/>
      <c r="O214" s="12"/>
      <c r="P214" s="12"/>
      <c r="Q214" s="12"/>
      <c r="R214" s="12"/>
      <c r="S214" s="12"/>
      <c r="T214" s="16"/>
    </row>
    <row r="215" spans="1:20" x14ac:dyDescent="0.25">
      <c r="A215" s="12"/>
      <c r="B215" s="12"/>
      <c r="C215" s="12"/>
      <c r="D215" s="12"/>
      <c r="E215" s="13"/>
      <c r="F215" s="14">
        <f>IF(E215="","",E215-TODAY())</f>
      </c>
      <c r="G215" s="13"/>
      <c r="H215" s="15"/>
      <c r="I215" s="12"/>
      <c r="J215" s="12"/>
      <c r="K215" s="12"/>
      <c r="L215" s="12"/>
      <c r="M215" s="12"/>
      <c r="N215" s="12"/>
      <c r="O215" s="12"/>
      <c r="P215" s="12"/>
      <c r="Q215" s="12"/>
      <c r="R215" s="12"/>
      <c r="S215" s="12"/>
      <c r="T215" s="16"/>
    </row>
    <row r="216" spans="1:20" x14ac:dyDescent="0.25">
      <c r="A216" s="12"/>
      <c r="B216" s="12"/>
      <c r="C216" s="12"/>
      <c r="D216" s="12"/>
      <c r="E216" s="13"/>
      <c r="F216" s="14">
        <f>IF(E216="","",E216-TODAY())</f>
      </c>
      <c r="G216" s="13"/>
      <c r="H216" s="15"/>
      <c r="I216" s="12"/>
      <c r="J216" s="12"/>
      <c r="K216" s="12"/>
      <c r="L216" s="12"/>
      <c r="M216" s="12"/>
      <c r="N216" s="12"/>
      <c r="O216" s="12"/>
      <c r="P216" s="12"/>
      <c r="Q216" s="12"/>
      <c r="R216" s="12"/>
      <c r="S216" s="12"/>
      <c r="T216" s="16"/>
    </row>
    <row r="217" spans="1:20" x14ac:dyDescent="0.25">
      <c r="A217" s="12"/>
      <c r="B217" s="12"/>
      <c r="C217" s="12"/>
      <c r="D217" s="12"/>
      <c r="E217" s="13"/>
      <c r="F217" s="14">
        <f>IF(E217="","",E217-TODAY())</f>
      </c>
      <c r="G217" s="13"/>
      <c r="H217" s="15"/>
      <c r="I217" s="12"/>
      <c r="J217" s="12"/>
      <c r="K217" s="12"/>
      <c r="L217" s="12"/>
      <c r="M217" s="12"/>
      <c r="N217" s="12"/>
      <c r="O217" s="12"/>
      <c r="P217" s="12"/>
      <c r="Q217" s="12"/>
      <c r="R217" s="12"/>
      <c r="S217" s="12"/>
      <c r="T217" s="16"/>
    </row>
    <row r="218" spans="1:20" x14ac:dyDescent="0.25">
      <c r="A218" s="12"/>
      <c r="B218" s="12"/>
      <c r="C218" s="12"/>
      <c r="D218" s="12"/>
      <c r="E218" s="13"/>
      <c r="F218" s="14">
        <f>IF(E218="","",E218-TODAY())</f>
      </c>
      <c r="G218" s="13"/>
      <c r="H218" s="15"/>
      <c r="I218" s="12"/>
      <c r="J218" s="12"/>
      <c r="K218" s="12"/>
      <c r="L218" s="12"/>
      <c r="M218" s="12"/>
      <c r="N218" s="12"/>
      <c r="O218" s="12"/>
      <c r="P218" s="12"/>
      <c r="Q218" s="12"/>
      <c r="R218" s="12"/>
      <c r="S218" s="12"/>
      <c r="T218" s="16"/>
    </row>
    <row r="219" spans="1:20" x14ac:dyDescent="0.25">
      <c r="A219" s="12"/>
      <c r="B219" s="12"/>
      <c r="C219" s="12"/>
      <c r="D219" s="12"/>
      <c r="E219" s="13"/>
      <c r="F219" s="14">
        <f>IF(E219="","",E219-TODAY())</f>
      </c>
      <c r="G219" s="13"/>
      <c r="H219" s="15"/>
      <c r="I219" s="12"/>
      <c r="J219" s="12"/>
      <c r="K219" s="12"/>
      <c r="L219" s="12"/>
      <c r="M219" s="12"/>
      <c r="N219" s="12"/>
      <c r="O219" s="12"/>
      <c r="P219" s="12"/>
      <c r="Q219" s="12"/>
      <c r="R219" s="12"/>
      <c r="S219" s="12"/>
      <c r="T219" s="16"/>
    </row>
    <row r="220" spans="1:20" x14ac:dyDescent="0.25">
      <c r="A220" s="12"/>
      <c r="B220" s="12"/>
      <c r="C220" s="12"/>
      <c r="D220" s="12"/>
      <c r="E220" s="13"/>
      <c r="F220" s="14">
        <f>IF(E220="","",E220-TODAY())</f>
      </c>
      <c r="G220" s="13"/>
      <c r="H220" s="15"/>
      <c r="I220" s="12"/>
      <c r="J220" s="12"/>
      <c r="K220" s="12"/>
      <c r="L220" s="12"/>
      <c r="M220" s="12"/>
      <c r="N220" s="12"/>
      <c r="O220" s="12"/>
      <c r="P220" s="12"/>
      <c r="Q220" s="12"/>
      <c r="R220" s="12"/>
      <c r="S220" s="12"/>
      <c r="T220" s="16"/>
    </row>
    <row r="221" spans="1:20" x14ac:dyDescent="0.25">
      <c r="A221" s="12"/>
      <c r="B221" s="12"/>
      <c r="C221" s="12"/>
      <c r="D221" s="12"/>
      <c r="E221" s="13"/>
      <c r="F221" s="14">
        <f>IF(E221="","",E221-TODAY())</f>
      </c>
      <c r="G221" s="13"/>
      <c r="H221" s="15"/>
      <c r="I221" s="12"/>
      <c r="J221" s="12"/>
      <c r="K221" s="12"/>
      <c r="L221" s="12"/>
      <c r="M221" s="12"/>
      <c r="N221" s="12"/>
      <c r="O221" s="12"/>
      <c r="P221" s="12"/>
      <c r="Q221" s="12"/>
      <c r="R221" s="12"/>
      <c r="S221" s="12"/>
      <c r="T221" s="16"/>
    </row>
    <row r="222" spans="1:20" x14ac:dyDescent="0.25">
      <c r="A222" s="12"/>
      <c r="B222" s="12"/>
      <c r="C222" s="12"/>
      <c r="D222" s="12"/>
      <c r="E222" s="13"/>
      <c r="F222" s="14">
        <f>IF(E222="","",E222-TODAY())</f>
      </c>
      <c r="G222" s="13"/>
      <c r="H222" s="15"/>
      <c r="I222" s="12"/>
      <c r="J222" s="12"/>
      <c r="K222" s="12"/>
      <c r="L222" s="12"/>
      <c r="M222" s="12"/>
      <c r="N222" s="12"/>
      <c r="O222" s="12"/>
      <c r="P222" s="12"/>
      <c r="Q222" s="12"/>
      <c r="R222" s="12"/>
      <c r="S222" s="12"/>
      <c r="T222" s="16"/>
    </row>
    <row r="223" spans="1:20" x14ac:dyDescent="0.25">
      <c r="A223" s="12"/>
      <c r="B223" s="12"/>
      <c r="C223" s="12"/>
      <c r="D223" s="12"/>
      <c r="E223" s="13"/>
      <c r="F223" s="14">
        <f>IF(E223="","",E223-TODAY())</f>
      </c>
      <c r="G223" s="13"/>
      <c r="H223" s="15"/>
      <c r="I223" s="12"/>
      <c r="J223" s="12"/>
      <c r="K223" s="12"/>
      <c r="L223" s="12"/>
      <c r="M223" s="12"/>
      <c r="N223" s="12"/>
      <c r="O223" s="12"/>
      <c r="P223" s="12"/>
      <c r="Q223" s="12"/>
      <c r="R223" s="12"/>
      <c r="S223" s="12"/>
      <c r="T223" s="16"/>
    </row>
    <row r="224" spans="1:20" x14ac:dyDescent="0.25">
      <c r="A224" s="12"/>
      <c r="B224" s="12"/>
      <c r="C224" s="12"/>
      <c r="D224" s="12"/>
      <c r="E224" s="13"/>
      <c r="F224" s="14">
        <f>IF(E224="","",E224-TODAY())</f>
      </c>
      <c r="G224" s="13"/>
      <c r="H224" s="15"/>
      <c r="I224" s="12"/>
      <c r="J224" s="12"/>
      <c r="K224" s="12"/>
      <c r="L224" s="12"/>
      <c r="M224" s="12"/>
      <c r="N224" s="12"/>
      <c r="O224" s="12"/>
      <c r="P224" s="12"/>
      <c r="Q224" s="12"/>
      <c r="R224" s="12"/>
      <c r="S224" s="12"/>
      <c r="T224" s="16"/>
    </row>
    <row r="225" spans="1:20" x14ac:dyDescent="0.25">
      <c r="A225" s="12"/>
      <c r="B225" s="12"/>
      <c r="C225" s="12"/>
      <c r="D225" s="12"/>
      <c r="E225" s="13"/>
      <c r="F225" s="14">
        <f>IF(E225="","",E225-TODAY())</f>
      </c>
      <c r="G225" s="13"/>
      <c r="H225" s="15"/>
      <c r="I225" s="12"/>
      <c r="J225" s="12"/>
      <c r="K225" s="12"/>
      <c r="L225" s="12"/>
      <c r="M225" s="12"/>
      <c r="N225" s="12"/>
      <c r="O225" s="12"/>
      <c r="P225" s="12"/>
      <c r="Q225" s="12"/>
      <c r="R225" s="12"/>
      <c r="S225" s="12"/>
      <c r="T225" s="16"/>
    </row>
    <row r="226" spans="1:20" x14ac:dyDescent="0.25">
      <c r="A226" s="12"/>
      <c r="B226" s="12"/>
      <c r="C226" s="12"/>
      <c r="D226" s="12"/>
      <c r="E226" s="13"/>
      <c r="F226" s="14">
        <f>IF(E226="","",E226-TODAY())</f>
      </c>
      <c r="G226" s="13"/>
      <c r="H226" s="15"/>
      <c r="I226" s="12"/>
      <c r="J226" s="12"/>
      <c r="K226" s="12"/>
      <c r="L226" s="12"/>
      <c r="M226" s="12"/>
      <c r="N226" s="12"/>
      <c r="O226" s="12"/>
      <c r="P226" s="12"/>
      <c r="Q226" s="12"/>
      <c r="R226" s="12"/>
      <c r="S226" s="12"/>
      <c r="T226" s="16"/>
    </row>
    <row r="227" spans="1:20" x14ac:dyDescent="0.25">
      <c r="A227" s="12"/>
      <c r="B227" s="12"/>
      <c r="C227" s="12"/>
      <c r="D227" s="12"/>
      <c r="E227" s="13"/>
      <c r="F227" s="14">
        <f>IF(E227="","",E227-TODAY())</f>
      </c>
      <c r="G227" s="13"/>
      <c r="H227" s="15"/>
      <c r="I227" s="12"/>
      <c r="J227" s="12"/>
      <c r="K227" s="12"/>
      <c r="L227" s="12"/>
      <c r="M227" s="12"/>
      <c r="N227" s="12"/>
      <c r="O227" s="12"/>
      <c r="P227" s="12"/>
      <c r="Q227" s="12"/>
      <c r="R227" s="12"/>
      <c r="S227" s="12"/>
      <c r="T227" s="16"/>
    </row>
    <row r="228" spans="1:20" x14ac:dyDescent="0.25">
      <c r="A228" s="12"/>
      <c r="B228" s="12"/>
      <c r="C228" s="12"/>
      <c r="D228" s="12"/>
      <c r="E228" s="13"/>
      <c r="F228" s="14">
        <f>IF(E228="","",E228-TODAY())</f>
      </c>
      <c r="G228" s="13"/>
      <c r="H228" s="15"/>
      <c r="I228" s="12"/>
      <c r="J228" s="12"/>
      <c r="K228" s="12"/>
      <c r="L228" s="12"/>
      <c r="M228" s="12"/>
      <c r="N228" s="12"/>
      <c r="O228" s="12"/>
      <c r="P228" s="12"/>
      <c r="Q228" s="12"/>
      <c r="R228" s="12"/>
      <c r="S228" s="12"/>
      <c r="T228" s="16"/>
    </row>
    <row r="229" spans="1:20" x14ac:dyDescent="0.25">
      <c r="A229" s="12"/>
      <c r="B229" s="12"/>
      <c r="C229" s="12"/>
      <c r="D229" s="12"/>
      <c r="E229" s="13"/>
      <c r="F229" s="14">
        <f>IF(E229="","",E229-TODAY())</f>
      </c>
      <c r="G229" s="13"/>
      <c r="H229" s="15"/>
      <c r="I229" s="12"/>
      <c r="J229" s="12"/>
      <c r="K229" s="12"/>
      <c r="L229" s="12"/>
      <c r="M229" s="12"/>
      <c r="N229" s="12"/>
      <c r="O229" s="12"/>
      <c r="P229" s="12"/>
      <c r="Q229" s="12"/>
      <c r="R229" s="12"/>
      <c r="S229" s="12"/>
      <c r="T229" s="16"/>
    </row>
    <row r="230" spans="1:20" x14ac:dyDescent="0.25">
      <c r="A230" s="12"/>
      <c r="B230" s="12"/>
      <c r="C230" s="12"/>
      <c r="D230" s="12"/>
      <c r="E230" s="13"/>
      <c r="F230" s="14">
        <f>IF(E230="","",E230-TODAY())</f>
      </c>
      <c r="G230" s="13"/>
      <c r="H230" s="15"/>
      <c r="I230" s="12"/>
      <c r="J230" s="12"/>
      <c r="K230" s="12"/>
      <c r="L230" s="12"/>
      <c r="M230" s="12"/>
      <c r="N230" s="12"/>
      <c r="O230" s="12"/>
      <c r="P230" s="12"/>
      <c r="Q230" s="12"/>
      <c r="R230" s="12"/>
      <c r="S230" s="12"/>
      <c r="T230" s="16"/>
    </row>
    <row r="231" spans="1:20" x14ac:dyDescent="0.25">
      <c r="A231" s="12"/>
      <c r="B231" s="12"/>
      <c r="C231" s="12"/>
      <c r="D231" s="12"/>
      <c r="E231" s="13"/>
      <c r="F231" s="14">
        <f>IF(E231="","",E231-TODAY())</f>
      </c>
      <c r="G231" s="13"/>
      <c r="H231" s="15"/>
      <c r="I231" s="12"/>
      <c r="J231" s="12"/>
      <c r="K231" s="12"/>
      <c r="L231" s="12"/>
      <c r="M231" s="12"/>
      <c r="N231" s="12"/>
      <c r="O231" s="12"/>
      <c r="P231" s="12"/>
      <c r="Q231" s="12"/>
      <c r="R231" s="12"/>
      <c r="S231" s="12"/>
      <c r="T231" s="16"/>
    </row>
    <row r="232" spans="1:20" x14ac:dyDescent="0.25">
      <c r="A232" s="12"/>
      <c r="B232" s="12"/>
      <c r="C232" s="12"/>
      <c r="D232" s="12"/>
      <c r="E232" s="13"/>
      <c r="F232" s="14">
        <f>IF(E232="","",E232-TODAY())</f>
      </c>
      <c r="G232" s="13"/>
      <c r="H232" s="15"/>
      <c r="I232" s="12"/>
      <c r="J232" s="12"/>
      <c r="K232" s="12"/>
      <c r="L232" s="12"/>
      <c r="M232" s="12"/>
      <c r="N232" s="12"/>
      <c r="O232" s="12"/>
      <c r="P232" s="12"/>
      <c r="Q232" s="12"/>
      <c r="R232" s="12"/>
      <c r="S232" s="12"/>
      <c r="T232" s="16"/>
    </row>
    <row r="233" spans="1:20" x14ac:dyDescent="0.25">
      <c r="A233" s="12"/>
      <c r="B233" s="12"/>
      <c r="C233" s="12"/>
      <c r="D233" s="12"/>
      <c r="E233" s="13"/>
      <c r="F233" s="14">
        <f>IF(E233="","",E233-TODAY())</f>
      </c>
      <c r="G233" s="13"/>
      <c r="H233" s="15"/>
      <c r="I233" s="12"/>
      <c r="J233" s="12"/>
      <c r="K233" s="12"/>
      <c r="L233" s="12"/>
      <c r="M233" s="12"/>
      <c r="N233" s="12"/>
      <c r="O233" s="12"/>
      <c r="P233" s="12"/>
      <c r="Q233" s="12"/>
      <c r="R233" s="12"/>
      <c r="S233" s="12"/>
      <c r="T233" s="16"/>
    </row>
    <row r="234" spans="1:20" x14ac:dyDescent="0.25">
      <c r="A234" s="12"/>
      <c r="B234" s="12"/>
      <c r="C234" s="12"/>
      <c r="D234" s="12"/>
      <c r="E234" s="13"/>
      <c r="F234" s="14">
        <f>IF(E234="","",E234-TODAY())</f>
      </c>
      <c r="G234" s="13"/>
      <c r="H234" s="15"/>
      <c r="I234" s="12"/>
      <c r="J234" s="12"/>
      <c r="K234" s="12"/>
      <c r="L234" s="12"/>
      <c r="M234" s="12"/>
      <c r="N234" s="12"/>
      <c r="O234" s="12"/>
      <c r="P234" s="12"/>
      <c r="Q234" s="12"/>
      <c r="R234" s="12"/>
      <c r="S234" s="12"/>
      <c r="T234" s="16"/>
    </row>
    <row r="235" spans="1:20" x14ac:dyDescent="0.25">
      <c r="A235" s="12"/>
      <c r="B235" s="12"/>
      <c r="C235" s="12"/>
      <c r="D235" s="12"/>
      <c r="E235" s="13"/>
      <c r="F235" s="14">
        <f>IF(E235="","",E235-TODAY())</f>
      </c>
      <c r="G235" s="13"/>
      <c r="H235" s="15"/>
      <c r="I235" s="12"/>
      <c r="J235" s="12"/>
      <c r="K235" s="12"/>
      <c r="L235" s="12"/>
      <c r="M235" s="12"/>
      <c r="N235" s="12"/>
      <c r="O235" s="12"/>
      <c r="P235" s="12"/>
      <c r="Q235" s="12"/>
      <c r="R235" s="12"/>
      <c r="S235" s="12"/>
      <c r="T235" s="16"/>
    </row>
    <row r="236" spans="1:20" x14ac:dyDescent="0.25">
      <c r="A236" s="12"/>
      <c r="B236" s="12"/>
      <c r="C236" s="12"/>
      <c r="D236" s="12"/>
      <c r="E236" s="13"/>
      <c r="F236" s="14">
        <f>IF(E236="","",E236-TODAY())</f>
      </c>
      <c r="G236" s="13"/>
      <c r="H236" s="15"/>
      <c r="I236" s="12"/>
      <c r="J236" s="12"/>
      <c r="K236" s="12"/>
      <c r="L236" s="12"/>
      <c r="M236" s="12"/>
      <c r="N236" s="12"/>
      <c r="O236" s="12"/>
      <c r="P236" s="12"/>
      <c r="Q236" s="12"/>
      <c r="R236" s="12"/>
      <c r="S236" s="12"/>
      <c r="T236" s="16"/>
    </row>
    <row r="237" spans="1:20" x14ac:dyDescent="0.25">
      <c r="A237" s="12"/>
      <c r="B237" s="12"/>
      <c r="C237" s="12"/>
      <c r="D237" s="12"/>
      <c r="E237" s="13"/>
      <c r="F237" s="14">
        <f>IF(E237="","",E237-TODAY())</f>
      </c>
      <c r="G237" s="13"/>
      <c r="H237" s="15"/>
      <c r="I237" s="12"/>
      <c r="J237" s="12"/>
      <c r="K237" s="12"/>
      <c r="L237" s="12"/>
      <c r="M237" s="12"/>
      <c r="N237" s="12"/>
      <c r="O237" s="12"/>
      <c r="P237" s="12"/>
      <c r="Q237" s="12"/>
      <c r="R237" s="12"/>
      <c r="S237" s="12"/>
      <c r="T237" s="16"/>
    </row>
    <row r="238" spans="1:20" x14ac:dyDescent="0.25">
      <c r="A238" s="12"/>
      <c r="B238" s="12"/>
      <c r="C238" s="12"/>
      <c r="D238" s="12"/>
      <c r="E238" s="13"/>
      <c r="F238" s="14">
        <f>IF(E238="","",E238-TODAY())</f>
      </c>
      <c r="G238" s="13"/>
      <c r="H238" s="15"/>
      <c r="I238" s="12"/>
      <c r="J238" s="12"/>
      <c r="K238" s="12"/>
      <c r="L238" s="12"/>
      <c r="M238" s="12"/>
      <c r="N238" s="12"/>
      <c r="O238" s="12"/>
      <c r="P238" s="12"/>
      <c r="Q238" s="12"/>
      <c r="R238" s="12"/>
      <c r="S238" s="12"/>
      <c r="T238" s="16"/>
    </row>
    <row r="239" spans="1:20" x14ac:dyDescent="0.25">
      <c r="A239" s="12"/>
      <c r="B239" s="12"/>
      <c r="C239" s="12"/>
      <c r="D239" s="12"/>
      <c r="E239" s="13"/>
      <c r="F239" s="14">
        <f>IF(E239="","",E239-TODAY())</f>
      </c>
      <c r="G239" s="13"/>
      <c r="H239" s="15"/>
      <c r="I239" s="12"/>
      <c r="J239" s="12"/>
      <c r="K239" s="12"/>
      <c r="L239" s="12"/>
      <c r="M239" s="12"/>
      <c r="N239" s="12"/>
      <c r="O239" s="12"/>
      <c r="P239" s="12"/>
      <c r="Q239" s="12"/>
      <c r="R239" s="12"/>
      <c r="S239" s="12"/>
      <c r="T239" s="16"/>
    </row>
    <row r="240" spans="1:20" x14ac:dyDescent="0.25">
      <c r="A240" s="12"/>
      <c r="B240" s="12"/>
      <c r="C240" s="12"/>
      <c r="D240" s="12"/>
      <c r="E240" s="13"/>
      <c r="F240" s="14">
        <f>IF(E240="","",E240-TODAY())</f>
      </c>
      <c r="G240" s="13"/>
      <c r="H240" s="15"/>
      <c r="I240" s="12"/>
      <c r="J240" s="12"/>
      <c r="K240" s="12"/>
      <c r="L240" s="12"/>
      <c r="M240" s="12"/>
      <c r="N240" s="12"/>
      <c r="O240" s="12"/>
      <c r="P240" s="12"/>
      <c r="Q240" s="12"/>
      <c r="R240" s="12"/>
      <c r="S240" s="12"/>
      <c r="T240" s="16"/>
    </row>
    <row r="241" spans="1:20" x14ac:dyDescent="0.25">
      <c r="A241" s="12"/>
      <c r="B241" s="12"/>
      <c r="C241" s="12"/>
      <c r="D241" s="12"/>
      <c r="E241" s="13"/>
      <c r="F241" s="14">
        <f>IF(E241="","",E241-TODAY())</f>
      </c>
      <c r="G241" s="13"/>
      <c r="H241" s="15"/>
      <c r="I241" s="12"/>
      <c r="J241" s="12"/>
      <c r="K241" s="12"/>
      <c r="L241" s="12"/>
      <c r="M241" s="12"/>
      <c r="N241" s="12"/>
      <c r="O241" s="12"/>
      <c r="P241" s="12"/>
      <c r="Q241" s="12"/>
      <c r="R241" s="12"/>
      <c r="S241" s="12"/>
      <c r="T241" s="16"/>
    </row>
    <row r="242" spans="1:20" x14ac:dyDescent="0.25">
      <c r="A242" s="12"/>
      <c r="B242" s="12"/>
      <c r="C242" s="12"/>
      <c r="D242" s="12"/>
      <c r="E242" s="13"/>
      <c r="F242" s="14">
        <f>IF(E242="","",E242-TODAY())</f>
      </c>
      <c r="G242" s="13"/>
      <c r="H242" s="15"/>
      <c r="I242" s="12"/>
      <c r="J242" s="12"/>
      <c r="K242" s="12"/>
      <c r="L242" s="12"/>
      <c r="M242" s="12"/>
      <c r="N242" s="12"/>
      <c r="O242" s="12"/>
      <c r="P242" s="12"/>
      <c r="Q242" s="12"/>
      <c r="R242" s="12"/>
      <c r="S242" s="12"/>
      <c r="T242" s="16"/>
    </row>
    <row r="243" spans="1:20" x14ac:dyDescent="0.25">
      <c r="A243" s="12"/>
      <c r="B243" s="12"/>
      <c r="C243" s="12"/>
      <c r="D243" s="12"/>
      <c r="E243" s="13"/>
      <c r="F243" s="14">
        <f>IF(E243="","",E243-TODAY())</f>
      </c>
      <c r="G243" s="13"/>
      <c r="H243" s="15"/>
      <c r="I243" s="12"/>
      <c r="J243" s="12"/>
      <c r="K243" s="12"/>
      <c r="L243" s="12"/>
      <c r="M243" s="12"/>
      <c r="N243" s="12"/>
      <c r="O243" s="12"/>
      <c r="P243" s="12"/>
      <c r="Q243" s="12"/>
      <c r="R243" s="12"/>
      <c r="S243" s="12"/>
      <c r="T243" s="16"/>
    </row>
    <row r="244" spans="1:20" x14ac:dyDescent="0.25">
      <c r="A244" s="12"/>
      <c r="B244" s="12"/>
      <c r="C244" s="12"/>
      <c r="D244" s="12"/>
      <c r="E244" s="13"/>
      <c r="F244" s="14">
        <f>IF(E244="","",E244-TODAY())</f>
      </c>
      <c r="G244" s="13"/>
      <c r="H244" s="15"/>
      <c r="I244" s="12"/>
      <c r="J244" s="12"/>
      <c r="K244" s="12"/>
      <c r="L244" s="12"/>
      <c r="M244" s="12"/>
      <c r="N244" s="12"/>
      <c r="O244" s="12"/>
      <c r="P244" s="12"/>
      <c r="Q244" s="12"/>
      <c r="R244" s="12"/>
      <c r="S244" s="12"/>
      <c r="T244" s="16"/>
    </row>
    <row r="245" spans="1:20" x14ac:dyDescent="0.25">
      <c r="A245" s="12"/>
      <c r="B245" s="12"/>
      <c r="C245" s="12"/>
      <c r="D245" s="12"/>
      <c r="E245" s="13"/>
      <c r="F245" s="14">
        <f>IF(E245="","",E245-TODAY())</f>
      </c>
      <c r="G245" s="13"/>
      <c r="H245" s="15"/>
      <c r="I245" s="12"/>
      <c r="J245" s="12"/>
      <c r="K245" s="12"/>
      <c r="L245" s="12"/>
      <c r="M245" s="12"/>
      <c r="N245" s="12"/>
      <c r="O245" s="12"/>
      <c r="P245" s="12"/>
      <c r="Q245" s="12"/>
      <c r="R245" s="12"/>
      <c r="S245" s="12"/>
      <c r="T245" s="16"/>
    </row>
    <row r="246" spans="1:20" x14ac:dyDescent="0.25">
      <c r="A246" s="12"/>
      <c r="B246" s="12"/>
      <c r="C246" s="12"/>
      <c r="D246" s="12"/>
      <c r="E246" s="13"/>
      <c r="F246" s="14">
        <f>IF(E246="","",E246-TODAY())</f>
      </c>
      <c r="G246" s="13"/>
      <c r="H246" s="15"/>
      <c r="I246" s="12"/>
      <c r="J246" s="12"/>
      <c r="K246" s="12"/>
      <c r="L246" s="12"/>
      <c r="M246" s="12"/>
      <c r="N246" s="12"/>
      <c r="O246" s="12"/>
      <c r="P246" s="12"/>
      <c r="Q246" s="12"/>
      <c r="R246" s="12"/>
      <c r="S246" s="12"/>
      <c r="T246" s="16"/>
    </row>
    <row r="247" spans="1:20" x14ac:dyDescent="0.25">
      <c r="A247" s="12"/>
      <c r="B247" s="12"/>
      <c r="C247" s="12"/>
      <c r="D247" s="12"/>
      <c r="E247" s="13"/>
      <c r="F247" s="14">
        <f>IF(E247="","",E247-TODAY())</f>
      </c>
      <c r="G247" s="13"/>
      <c r="H247" s="15"/>
      <c r="I247" s="12"/>
      <c r="J247" s="12"/>
      <c r="K247" s="12"/>
      <c r="L247" s="12"/>
      <c r="M247" s="12"/>
      <c r="N247" s="12"/>
      <c r="O247" s="12"/>
      <c r="P247" s="12"/>
      <c r="Q247" s="12"/>
      <c r="R247" s="12"/>
      <c r="S247" s="12"/>
      <c r="T247" s="16"/>
    </row>
    <row r="248" spans="1:20" x14ac:dyDescent="0.25">
      <c r="A248" s="12"/>
      <c r="B248" s="12"/>
      <c r="C248" s="12"/>
      <c r="D248" s="12"/>
      <c r="E248" s="13"/>
      <c r="F248" s="14">
        <f>IF(E248="","",E248-TODAY())</f>
      </c>
      <c r="G248" s="13"/>
      <c r="H248" s="15"/>
      <c r="I248" s="12"/>
      <c r="J248" s="12"/>
      <c r="K248" s="12"/>
      <c r="L248" s="12"/>
      <c r="M248" s="12"/>
      <c r="N248" s="12"/>
      <c r="O248" s="12"/>
      <c r="P248" s="12"/>
      <c r="Q248" s="12"/>
      <c r="R248" s="12"/>
      <c r="S248" s="12"/>
      <c r="T248" s="16"/>
    </row>
    <row r="249" spans="1:20" x14ac:dyDescent="0.25">
      <c r="A249" s="12"/>
      <c r="B249" s="12"/>
      <c r="C249" s="12"/>
      <c r="D249" s="12"/>
      <c r="E249" s="13"/>
      <c r="F249" s="14">
        <f>IF(E249="","",E249-TODAY())</f>
      </c>
      <c r="G249" s="13"/>
      <c r="H249" s="15"/>
      <c r="I249" s="12"/>
      <c r="J249" s="12"/>
      <c r="K249" s="12"/>
      <c r="L249" s="12"/>
      <c r="M249" s="12"/>
      <c r="N249" s="12"/>
      <c r="O249" s="12"/>
      <c r="P249" s="12"/>
      <c r="Q249" s="12"/>
      <c r="R249" s="12"/>
      <c r="S249" s="12"/>
      <c r="T249" s="16"/>
    </row>
    <row r="250" spans="1:20" x14ac:dyDescent="0.25">
      <c r="A250" s="12"/>
      <c r="B250" s="12"/>
      <c r="C250" s="12"/>
      <c r="D250" s="12"/>
      <c r="E250" s="13"/>
      <c r="F250" s="14">
        <f>IF(E250="","",E250-TODAY())</f>
      </c>
      <c r="G250" s="13"/>
      <c r="H250" s="15"/>
      <c r="I250" s="12"/>
      <c r="J250" s="12"/>
      <c r="K250" s="12"/>
      <c r="L250" s="12"/>
      <c r="M250" s="12"/>
      <c r="N250" s="12"/>
      <c r="O250" s="12"/>
      <c r="P250" s="12"/>
      <c r="Q250" s="12"/>
      <c r="R250" s="12"/>
      <c r="S250" s="12"/>
      <c r="T250" s="16"/>
    </row>
    <row r="251" spans="1:20" x14ac:dyDescent="0.25">
      <c r="A251" s="12"/>
      <c r="B251" s="12"/>
      <c r="C251" s="12"/>
      <c r="D251" s="12"/>
      <c r="E251" s="13"/>
      <c r="F251" s="14">
        <f>IF(E251="","",E251-TODAY())</f>
      </c>
      <c r="G251" s="13"/>
      <c r="H251" s="15"/>
      <c r="I251" s="12"/>
      <c r="J251" s="12"/>
      <c r="K251" s="12"/>
      <c r="L251" s="12"/>
      <c r="M251" s="12"/>
      <c r="N251" s="12"/>
      <c r="O251" s="12"/>
      <c r="P251" s="12"/>
      <c r="Q251" s="12"/>
      <c r="R251" s="12"/>
      <c r="S251" s="12"/>
      <c r="T251" s="16"/>
    </row>
    <row r="252" spans="1:20" x14ac:dyDescent="0.25">
      <c r="A252" s="12"/>
      <c r="B252" s="12"/>
      <c r="C252" s="12"/>
      <c r="D252" s="12"/>
      <c r="E252" s="13"/>
      <c r="F252" s="14">
        <f>IF(E252="","",E252-TODAY())</f>
      </c>
      <c r="G252" s="13"/>
      <c r="H252" s="15"/>
      <c r="I252" s="12"/>
      <c r="J252" s="12"/>
      <c r="K252" s="12"/>
      <c r="L252" s="12"/>
      <c r="M252" s="12"/>
      <c r="N252" s="12"/>
      <c r="O252" s="12"/>
      <c r="P252" s="12"/>
      <c r="Q252" s="12"/>
      <c r="R252" s="12"/>
      <c r="S252" s="12"/>
      <c r="T252" s="16"/>
    </row>
    <row r="253" spans="1:20" x14ac:dyDescent="0.25">
      <c r="A253" s="12"/>
      <c r="B253" s="12"/>
      <c r="C253" s="12"/>
      <c r="D253" s="12"/>
      <c r="E253" s="13"/>
      <c r="F253" s="14">
        <f>IF(E253="","",E253-TODAY())</f>
      </c>
      <c r="G253" s="13"/>
      <c r="H253" s="15"/>
      <c r="I253" s="12"/>
      <c r="J253" s="12"/>
      <c r="K253" s="12"/>
      <c r="L253" s="12"/>
      <c r="M253" s="12"/>
      <c r="N253" s="12"/>
      <c r="O253" s="12"/>
      <c r="P253" s="12"/>
      <c r="Q253" s="12"/>
      <c r="R253" s="12"/>
      <c r="S253" s="12"/>
      <c r="T253" s="16"/>
    </row>
    <row r="254" spans="1:20" x14ac:dyDescent="0.25">
      <c r="A254" s="12"/>
      <c r="B254" s="12"/>
      <c r="C254" s="12"/>
      <c r="D254" s="12"/>
      <c r="E254" s="13"/>
      <c r="F254" s="14">
        <f>IF(E254="","",E254-TODAY())</f>
      </c>
      <c r="G254" s="13"/>
      <c r="H254" s="15"/>
      <c r="I254" s="12"/>
      <c r="J254" s="12"/>
      <c r="K254" s="12"/>
      <c r="L254" s="12"/>
      <c r="M254" s="12"/>
      <c r="N254" s="12"/>
      <c r="O254" s="12"/>
      <c r="P254" s="12"/>
      <c r="Q254" s="12"/>
      <c r="R254" s="12"/>
      <c r="S254" s="12"/>
      <c r="T254" s="16"/>
    </row>
    <row r="255" spans="1:20" x14ac:dyDescent="0.25">
      <c r="A255" s="12"/>
      <c r="B255" s="12"/>
      <c r="C255" s="12"/>
      <c r="D255" s="12"/>
      <c r="E255" s="13"/>
      <c r="F255" s="14">
        <f>IF(E255="","",E255-TODAY())</f>
      </c>
      <c r="G255" s="13"/>
      <c r="H255" s="15"/>
      <c r="I255" s="12"/>
      <c r="J255" s="12"/>
      <c r="K255" s="12"/>
      <c r="L255" s="12"/>
      <c r="M255" s="12"/>
      <c r="N255" s="12"/>
      <c r="O255" s="12"/>
      <c r="P255" s="12"/>
      <c r="Q255" s="12"/>
      <c r="R255" s="12"/>
      <c r="S255" s="12"/>
      <c r="T255" s="16"/>
    </row>
    <row r="256" spans="1:20" x14ac:dyDescent="0.25">
      <c r="A256" s="12"/>
      <c r="B256" s="12"/>
      <c r="C256" s="12"/>
      <c r="D256" s="12"/>
      <c r="E256" s="13"/>
      <c r="F256" s="14">
        <f>IF(E256="","",E256-TODAY())</f>
      </c>
      <c r="G256" s="13"/>
      <c r="H256" s="15"/>
      <c r="I256" s="12"/>
      <c r="J256" s="12"/>
      <c r="K256" s="12"/>
      <c r="L256" s="12"/>
      <c r="M256" s="12"/>
      <c r="N256" s="12"/>
      <c r="O256" s="12"/>
      <c r="P256" s="12"/>
      <c r="Q256" s="12"/>
      <c r="R256" s="12"/>
      <c r="S256" s="12"/>
      <c r="T256" s="16"/>
    </row>
    <row r="257" spans="1:20" x14ac:dyDescent="0.25">
      <c r="A257" s="12"/>
      <c r="B257" s="12"/>
      <c r="C257" s="12"/>
      <c r="D257" s="12"/>
      <c r="E257" s="13"/>
      <c r="F257" s="14">
        <f>IF(E257="","",E257-TODAY())</f>
      </c>
      <c r="G257" s="13"/>
      <c r="H257" s="15"/>
      <c r="I257" s="12"/>
      <c r="J257" s="12"/>
      <c r="K257" s="12"/>
      <c r="L257" s="12"/>
      <c r="M257" s="12"/>
      <c r="N257" s="12"/>
      <c r="O257" s="12"/>
      <c r="P257" s="12"/>
      <c r="Q257" s="12"/>
      <c r="R257" s="12"/>
      <c r="S257" s="12"/>
      <c r="T257" s="16"/>
    </row>
    <row r="258" spans="1:20" x14ac:dyDescent="0.25">
      <c r="A258" s="12"/>
      <c r="B258" s="12"/>
      <c r="C258" s="12"/>
      <c r="D258" s="12"/>
      <c r="E258" s="13"/>
      <c r="F258" s="14">
        <f>IF(E258="","",E258-TODAY())</f>
      </c>
      <c r="G258" s="13"/>
      <c r="H258" s="15"/>
      <c r="I258" s="12"/>
      <c r="J258" s="12"/>
      <c r="K258" s="12"/>
      <c r="L258" s="12"/>
      <c r="M258" s="12"/>
      <c r="N258" s="12"/>
      <c r="O258" s="12"/>
      <c r="P258" s="12"/>
      <c r="Q258" s="12"/>
      <c r="R258" s="12"/>
      <c r="S258" s="12"/>
      <c r="T258" s="16"/>
    </row>
    <row r="259" spans="1:20" x14ac:dyDescent="0.25">
      <c r="A259" s="12"/>
      <c r="B259" s="12"/>
      <c r="C259" s="12"/>
      <c r="D259" s="12"/>
      <c r="E259" s="13"/>
      <c r="F259" s="14">
        <f>IF(E259="","",E259-TODAY())</f>
      </c>
      <c r="G259" s="13"/>
      <c r="H259" s="15"/>
      <c r="I259" s="12"/>
      <c r="J259" s="12"/>
      <c r="K259" s="12"/>
      <c r="L259" s="12"/>
      <c r="M259" s="12"/>
      <c r="N259" s="12"/>
      <c r="O259" s="12"/>
      <c r="P259" s="12"/>
      <c r="Q259" s="12"/>
      <c r="R259" s="12"/>
      <c r="S259" s="12"/>
      <c r="T259" s="16"/>
    </row>
    <row r="260" spans="1:20" x14ac:dyDescent="0.25">
      <c r="A260" s="12"/>
      <c r="B260" s="12"/>
      <c r="C260" s="12"/>
      <c r="D260" s="12"/>
      <c r="E260" s="13"/>
      <c r="F260" s="14">
        <f>IF(E260="","",E260-TODAY())</f>
      </c>
      <c r="G260" s="13"/>
      <c r="H260" s="15"/>
      <c r="I260" s="12"/>
      <c r="J260" s="12"/>
      <c r="K260" s="12"/>
      <c r="L260" s="12"/>
      <c r="M260" s="12"/>
      <c r="N260" s="12"/>
      <c r="O260" s="12"/>
      <c r="P260" s="12"/>
      <c r="Q260" s="12"/>
      <c r="R260" s="12"/>
      <c r="S260" s="12"/>
      <c r="T260" s="16"/>
    </row>
    <row r="261" spans="1:20" x14ac:dyDescent="0.25">
      <c r="A261" s="12"/>
      <c r="B261" s="12"/>
      <c r="C261" s="12"/>
      <c r="D261" s="12"/>
      <c r="E261" s="13"/>
      <c r="F261" s="14">
        <f>IF(E261="","",E261-TODAY())</f>
      </c>
      <c r="G261" s="13"/>
      <c r="H261" s="15"/>
      <c r="I261" s="12"/>
      <c r="J261" s="12"/>
      <c r="K261" s="12"/>
      <c r="L261" s="12"/>
      <c r="M261" s="12"/>
      <c r="N261" s="12"/>
      <c r="O261" s="12"/>
      <c r="P261" s="12"/>
      <c r="Q261" s="12"/>
      <c r="R261" s="12"/>
      <c r="S261" s="12"/>
      <c r="T261" s="16"/>
    </row>
    <row r="262" spans="1:20" x14ac:dyDescent="0.25">
      <c r="A262" s="12"/>
      <c r="B262" s="12"/>
      <c r="C262" s="12"/>
      <c r="D262" s="12"/>
      <c r="E262" s="13"/>
      <c r="F262" s="14">
        <f>IF(E262="","",E262-TODAY())</f>
      </c>
      <c r="G262" s="13"/>
      <c r="H262" s="15"/>
      <c r="I262" s="12"/>
      <c r="J262" s="12"/>
      <c r="K262" s="12"/>
      <c r="L262" s="12"/>
      <c r="M262" s="12"/>
      <c r="N262" s="12"/>
      <c r="O262" s="12"/>
      <c r="P262" s="12"/>
      <c r="Q262" s="12"/>
      <c r="R262" s="12"/>
      <c r="S262" s="12"/>
      <c r="T262" s="16"/>
    </row>
    <row r="263" spans="1:20" x14ac:dyDescent="0.25">
      <c r="A263" s="12"/>
      <c r="B263" s="12"/>
      <c r="C263" s="12"/>
      <c r="D263" s="12"/>
      <c r="E263" s="13"/>
      <c r="F263" s="14">
        <f>IF(E263="","",E263-TODAY())</f>
      </c>
      <c r="G263" s="13"/>
      <c r="H263" s="15"/>
      <c r="I263" s="12"/>
      <c r="J263" s="12"/>
      <c r="K263" s="12"/>
      <c r="L263" s="12"/>
      <c r="M263" s="12"/>
      <c r="N263" s="12"/>
      <c r="O263" s="12"/>
      <c r="P263" s="12"/>
      <c r="Q263" s="12"/>
      <c r="R263" s="12"/>
      <c r="S263" s="12"/>
      <c r="T263" s="16"/>
    </row>
    <row r="264" spans="1:20" x14ac:dyDescent="0.25">
      <c r="A264" s="12"/>
      <c r="B264" s="12"/>
      <c r="C264" s="12"/>
      <c r="D264" s="12"/>
      <c r="E264" s="13"/>
      <c r="F264" s="14">
        <f>IF(E264="","",E264-TODAY())</f>
      </c>
      <c r="G264" s="13"/>
      <c r="H264" s="15"/>
      <c r="I264" s="12"/>
      <c r="J264" s="12"/>
      <c r="K264" s="12"/>
      <c r="L264" s="12"/>
      <c r="M264" s="12"/>
      <c r="N264" s="12"/>
      <c r="O264" s="12"/>
      <c r="P264" s="12"/>
      <c r="Q264" s="12"/>
      <c r="R264" s="12"/>
      <c r="S264" s="12"/>
      <c r="T264" s="16"/>
    </row>
    <row r="265" spans="1:20" x14ac:dyDescent="0.25">
      <c r="A265" s="12"/>
      <c r="B265" s="12"/>
      <c r="C265" s="12"/>
      <c r="D265" s="12"/>
      <c r="E265" s="13"/>
      <c r="F265" s="14">
        <f>IF(E265="","",E265-TODAY())</f>
      </c>
      <c r="G265" s="13"/>
      <c r="H265" s="15"/>
      <c r="I265" s="12"/>
      <c r="J265" s="12"/>
      <c r="K265" s="12"/>
      <c r="L265" s="12"/>
      <c r="M265" s="12"/>
      <c r="N265" s="12"/>
      <c r="O265" s="12"/>
      <c r="P265" s="12"/>
      <c r="Q265" s="12"/>
      <c r="R265" s="12"/>
      <c r="S265" s="12"/>
      <c r="T265" s="16"/>
    </row>
    <row r="266" spans="1:20" x14ac:dyDescent="0.25">
      <c r="A266" s="12"/>
      <c r="B266" s="12"/>
      <c r="C266" s="12"/>
      <c r="D266" s="12"/>
      <c r="E266" s="13"/>
      <c r="F266" s="14">
        <f>IF(E266="","",E266-TODAY())</f>
      </c>
      <c r="G266" s="13"/>
      <c r="H266" s="15"/>
      <c r="I266" s="12"/>
      <c r="J266" s="12"/>
      <c r="K266" s="12"/>
      <c r="L266" s="12"/>
      <c r="M266" s="12"/>
      <c r="N266" s="12"/>
      <c r="O266" s="12"/>
      <c r="P266" s="12"/>
      <c r="Q266" s="12"/>
      <c r="R266" s="12"/>
      <c r="S266" s="12"/>
      <c r="T266" s="16"/>
    </row>
    <row r="267" spans="1:20" x14ac:dyDescent="0.25">
      <c r="A267" s="12"/>
      <c r="B267" s="12"/>
      <c r="C267" s="12"/>
      <c r="D267" s="12"/>
      <c r="E267" s="13"/>
      <c r="F267" s="14">
        <f>IF(E267="","",E267-TODAY())</f>
      </c>
      <c r="G267" s="13"/>
      <c r="H267" s="15"/>
      <c r="I267" s="12"/>
      <c r="J267" s="12"/>
      <c r="K267" s="12"/>
      <c r="L267" s="12"/>
      <c r="M267" s="12"/>
      <c r="N267" s="12"/>
      <c r="O267" s="12"/>
      <c r="P267" s="12"/>
      <c r="Q267" s="12"/>
      <c r="R267" s="12"/>
      <c r="S267" s="12"/>
      <c r="T267" s="16"/>
    </row>
    <row r="268" spans="1:20" x14ac:dyDescent="0.25">
      <c r="A268" s="12"/>
      <c r="B268" s="12"/>
      <c r="C268" s="12"/>
      <c r="D268" s="12"/>
      <c r="E268" s="13"/>
      <c r="F268" s="14">
        <f>IF(E268="","",E268-TODAY())</f>
      </c>
      <c r="G268" s="13"/>
      <c r="H268" s="15"/>
      <c r="I268" s="12"/>
      <c r="J268" s="12"/>
      <c r="K268" s="12"/>
      <c r="L268" s="12"/>
      <c r="M268" s="12"/>
      <c r="N268" s="12"/>
      <c r="O268" s="12"/>
      <c r="P268" s="12"/>
      <c r="Q268" s="12"/>
      <c r="R268" s="12"/>
      <c r="S268" s="12"/>
      <c r="T268" s="16"/>
    </row>
    <row r="269" spans="1:20" x14ac:dyDescent="0.25">
      <c r="A269" s="12"/>
      <c r="B269" s="12"/>
      <c r="C269" s="12"/>
      <c r="D269" s="12"/>
      <c r="E269" s="13"/>
      <c r="F269" s="14">
        <f>IF(E269="","",E269-TODAY())</f>
      </c>
      <c r="G269" s="13"/>
      <c r="H269" s="15"/>
      <c r="I269" s="12"/>
      <c r="J269" s="12"/>
      <c r="K269" s="12"/>
      <c r="L269" s="12"/>
      <c r="M269" s="12"/>
      <c r="N269" s="12"/>
      <c r="O269" s="12"/>
      <c r="P269" s="12"/>
      <c r="Q269" s="12"/>
      <c r="R269" s="12"/>
      <c r="S269" s="12"/>
      <c r="T269" s="16"/>
    </row>
    <row r="270" spans="1:20" x14ac:dyDescent="0.25">
      <c r="A270" s="12"/>
      <c r="B270" s="12"/>
      <c r="C270" s="12"/>
      <c r="D270" s="12"/>
      <c r="E270" s="13"/>
      <c r="F270" s="14">
        <f>IF(E270="","",E270-TODAY())</f>
      </c>
      <c r="G270" s="13"/>
      <c r="H270" s="15"/>
      <c r="I270" s="12"/>
      <c r="J270" s="12"/>
      <c r="K270" s="12"/>
      <c r="L270" s="12"/>
      <c r="M270" s="12"/>
      <c r="N270" s="12"/>
      <c r="O270" s="12"/>
      <c r="P270" s="12"/>
      <c r="Q270" s="12"/>
      <c r="R270" s="12"/>
      <c r="S270" s="12"/>
      <c r="T270" s="16"/>
    </row>
    <row r="271" spans="1:20" x14ac:dyDescent="0.25">
      <c r="A271" s="12"/>
      <c r="B271" s="12"/>
      <c r="C271" s="12"/>
      <c r="D271" s="12"/>
      <c r="E271" s="13"/>
      <c r="F271" s="14">
        <f>IF(E271="","",E271-TODAY())</f>
      </c>
      <c r="G271" s="13"/>
      <c r="H271" s="15"/>
      <c r="I271" s="12"/>
      <c r="J271" s="12"/>
      <c r="K271" s="12"/>
      <c r="L271" s="12"/>
      <c r="M271" s="12"/>
      <c r="N271" s="12"/>
      <c r="O271" s="12"/>
      <c r="P271" s="12"/>
      <c r="Q271" s="12"/>
      <c r="R271" s="12"/>
      <c r="S271" s="12"/>
      <c r="T271" s="16"/>
    </row>
    <row r="272" spans="1:20" x14ac:dyDescent="0.25">
      <c r="A272" s="12"/>
      <c r="B272" s="12"/>
      <c r="C272" s="12"/>
      <c r="D272" s="12"/>
      <c r="E272" s="13"/>
      <c r="F272" s="14">
        <f>IF(E272="","",E272-TODAY())</f>
      </c>
      <c r="G272" s="13"/>
      <c r="H272" s="15"/>
      <c r="I272" s="12"/>
      <c r="J272" s="12"/>
      <c r="K272" s="12"/>
      <c r="L272" s="12"/>
      <c r="M272" s="12"/>
      <c r="N272" s="12"/>
      <c r="O272" s="12"/>
      <c r="P272" s="12"/>
      <c r="Q272" s="12"/>
      <c r="R272" s="12"/>
      <c r="S272" s="12"/>
      <c r="T272" s="16"/>
    </row>
    <row r="273" spans="1:20" x14ac:dyDescent="0.25">
      <c r="A273" s="12"/>
      <c r="B273" s="12"/>
      <c r="C273" s="12"/>
      <c r="D273" s="12"/>
      <c r="E273" s="13"/>
      <c r="F273" s="14">
        <f>IF(E273="","",E273-TODAY())</f>
      </c>
      <c r="G273" s="13"/>
      <c r="H273" s="15"/>
      <c r="I273" s="12"/>
      <c r="J273" s="12"/>
      <c r="K273" s="12"/>
      <c r="L273" s="12"/>
      <c r="M273" s="12"/>
      <c r="N273" s="12"/>
      <c r="O273" s="12"/>
      <c r="P273" s="12"/>
      <c r="Q273" s="12"/>
      <c r="R273" s="12"/>
      <c r="S273" s="12"/>
      <c r="T273" s="16"/>
    </row>
    <row r="274" spans="1:20" x14ac:dyDescent="0.25">
      <c r="A274" s="12"/>
      <c r="B274" s="12"/>
      <c r="C274" s="12"/>
      <c r="D274" s="12"/>
      <c r="E274" s="13"/>
      <c r="F274" s="14">
        <f>IF(E274="","",E274-TODAY())</f>
      </c>
      <c r="G274" s="13"/>
      <c r="H274" s="15"/>
      <c r="I274" s="12"/>
      <c r="J274" s="12"/>
      <c r="K274" s="12"/>
      <c r="L274" s="12"/>
      <c r="M274" s="12"/>
      <c r="N274" s="12"/>
      <c r="O274" s="12"/>
      <c r="P274" s="12"/>
      <c r="Q274" s="12"/>
      <c r="R274" s="12"/>
      <c r="S274" s="12"/>
      <c r="T274" s="16"/>
    </row>
    <row r="275" spans="1:20" x14ac:dyDescent="0.25">
      <c r="A275" s="12"/>
      <c r="B275" s="12"/>
      <c r="C275" s="12"/>
      <c r="D275" s="12"/>
      <c r="E275" s="13"/>
      <c r="F275" s="14">
        <f>IF(E275="","",E275-TODAY())</f>
      </c>
      <c r="G275" s="13"/>
      <c r="H275" s="15"/>
      <c r="I275" s="12"/>
      <c r="J275" s="12"/>
      <c r="K275" s="12"/>
      <c r="L275" s="12"/>
      <c r="M275" s="12"/>
      <c r="N275" s="12"/>
      <c r="O275" s="12"/>
      <c r="P275" s="12"/>
      <c r="Q275" s="12"/>
      <c r="R275" s="12"/>
      <c r="S275" s="12"/>
      <c r="T275" s="16"/>
    </row>
    <row r="276" spans="1:20" x14ac:dyDescent="0.25">
      <c r="A276" s="12"/>
      <c r="B276" s="12"/>
      <c r="C276" s="12"/>
      <c r="D276" s="12"/>
      <c r="E276" s="13"/>
      <c r="F276" s="14">
        <f>IF(E276="","",E276-TODAY())</f>
      </c>
      <c r="G276" s="13"/>
      <c r="H276" s="15"/>
      <c r="I276" s="12"/>
      <c r="J276" s="12"/>
      <c r="K276" s="12"/>
      <c r="L276" s="12"/>
      <c r="M276" s="12"/>
      <c r="N276" s="12"/>
      <c r="O276" s="12"/>
      <c r="P276" s="12"/>
      <c r="Q276" s="12"/>
      <c r="R276" s="12"/>
      <c r="S276" s="12"/>
      <c r="T276" s="16"/>
    </row>
    <row r="277" spans="1:20" x14ac:dyDescent="0.25">
      <c r="A277" s="12"/>
      <c r="B277" s="12"/>
      <c r="C277" s="12"/>
      <c r="D277" s="12"/>
      <c r="E277" s="13"/>
      <c r="F277" s="14">
        <f>IF(E277="","",E277-TODAY())</f>
      </c>
      <c r="G277" s="13"/>
      <c r="H277" s="15"/>
      <c r="I277" s="12"/>
      <c r="J277" s="12"/>
      <c r="K277" s="12"/>
      <c r="L277" s="12"/>
      <c r="M277" s="12"/>
      <c r="N277" s="12"/>
      <c r="O277" s="12"/>
      <c r="P277" s="12"/>
      <c r="Q277" s="12"/>
      <c r="R277" s="12"/>
      <c r="S277" s="12"/>
      <c r="T277" s="16"/>
    </row>
    <row r="278" spans="1:20" x14ac:dyDescent="0.25">
      <c r="A278" s="12"/>
      <c r="B278" s="12"/>
      <c r="C278" s="12"/>
      <c r="D278" s="12"/>
      <c r="E278" s="13"/>
      <c r="F278" s="14">
        <f>IF(E278="","",E278-TODAY())</f>
      </c>
      <c r="G278" s="13"/>
      <c r="H278" s="15"/>
      <c r="I278" s="12"/>
      <c r="J278" s="12"/>
      <c r="K278" s="12"/>
      <c r="L278" s="12"/>
      <c r="M278" s="12"/>
      <c r="N278" s="12"/>
      <c r="O278" s="12"/>
      <c r="P278" s="12"/>
      <c r="Q278" s="12"/>
      <c r="R278" s="12"/>
      <c r="S278" s="12"/>
      <c r="T278" s="16"/>
    </row>
    <row r="279" spans="1:20" x14ac:dyDescent="0.25">
      <c r="A279" s="12"/>
      <c r="B279" s="12"/>
      <c r="C279" s="12"/>
      <c r="D279" s="12"/>
      <c r="E279" s="13"/>
      <c r="F279" s="14">
        <f>IF(E279="","",E279-TODAY())</f>
      </c>
      <c r="G279" s="13"/>
      <c r="H279" s="15"/>
      <c r="I279" s="12"/>
      <c r="J279" s="12"/>
      <c r="K279" s="12"/>
      <c r="L279" s="12"/>
      <c r="M279" s="12"/>
      <c r="N279" s="12"/>
      <c r="O279" s="12"/>
      <c r="P279" s="12"/>
      <c r="Q279" s="12"/>
      <c r="R279" s="12"/>
      <c r="S279" s="12"/>
      <c r="T279" s="16"/>
    </row>
    <row r="280" spans="1:20" x14ac:dyDescent="0.25">
      <c r="A280" s="12"/>
      <c r="B280" s="12"/>
      <c r="C280" s="12"/>
      <c r="D280" s="12"/>
      <c r="E280" s="13"/>
      <c r="F280" s="14">
        <f>IF(E280="","",E280-TODAY())</f>
      </c>
      <c r="G280" s="13"/>
      <c r="H280" s="15"/>
      <c r="I280" s="12"/>
      <c r="J280" s="12"/>
      <c r="K280" s="12"/>
      <c r="L280" s="12"/>
      <c r="M280" s="12"/>
      <c r="N280" s="12"/>
      <c r="O280" s="12"/>
      <c r="P280" s="12"/>
      <c r="Q280" s="12"/>
      <c r="R280" s="12"/>
      <c r="S280" s="12"/>
      <c r="T280" s="16"/>
    </row>
    <row r="281" spans="1:20" x14ac:dyDescent="0.25">
      <c r="A281" s="12"/>
      <c r="B281" s="12"/>
      <c r="C281" s="12"/>
      <c r="D281" s="12"/>
      <c r="E281" s="13"/>
      <c r="F281" s="14">
        <f>IF(E281="","",E281-TODAY())</f>
      </c>
      <c r="G281" s="13"/>
      <c r="H281" s="15"/>
      <c r="I281" s="12"/>
      <c r="J281" s="12"/>
      <c r="K281" s="12"/>
      <c r="L281" s="12"/>
      <c r="M281" s="12"/>
      <c r="N281" s="12"/>
      <c r="O281" s="12"/>
      <c r="P281" s="12"/>
      <c r="Q281" s="12"/>
      <c r="R281" s="12"/>
      <c r="S281" s="12"/>
      <c r="T281" s="16"/>
    </row>
    <row r="282" spans="1:20" x14ac:dyDescent="0.25">
      <c r="A282" s="12"/>
      <c r="B282" s="12"/>
      <c r="C282" s="12"/>
      <c r="D282" s="12"/>
      <c r="E282" s="13"/>
      <c r="F282" s="14">
        <f>IF(E282="","",E282-TODAY())</f>
      </c>
      <c r="G282" s="13"/>
      <c r="H282" s="15"/>
      <c r="I282" s="12"/>
      <c r="J282" s="12"/>
      <c r="K282" s="12"/>
      <c r="L282" s="12"/>
      <c r="M282" s="12"/>
      <c r="N282" s="12"/>
      <c r="O282" s="12"/>
      <c r="P282" s="12"/>
      <c r="Q282" s="12"/>
      <c r="R282" s="12"/>
      <c r="S282" s="12"/>
      <c r="T282" s="16"/>
    </row>
    <row r="283" spans="1:20" x14ac:dyDescent="0.25">
      <c r="A283" s="12"/>
      <c r="B283" s="12"/>
      <c r="C283" s="12"/>
      <c r="D283" s="12"/>
      <c r="E283" s="13"/>
      <c r="F283" s="14">
        <f>IF(E283="","",E283-TODAY())</f>
      </c>
      <c r="G283" s="13"/>
      <c r="H283" s="15"/>
      <c r="I283" s="12"/>
      <c r="J283" s="12"/>
      <c r="K283" s="12"/>
      <c r="L283" s="12"/>
      <c r="M283" s="12"/>
      <c r="N283" s="12"/>
      <c r="O283" s="12"/>
      <c r="P283" s="12"/>
      <c r="Q283" s="12"/>
      <c r="R283" s="12"/>
      <c r="S283" s="12"/>
      <c r="T283" s="16"/>
    </row>
    <row r="284" spans="1:20" x14ac:dyDescent="0.25">
      <c r="A284" s="12"/>
      <c r="B284" s="12"/>
      <c r="C284" s="12"/>
      <c r="D284" s="12"/>
      <c r="E284" s="13"/>
      <c r="F284" s="14">
        <f>IF(E284="","",E284-TODAY())</f>
      </c>
      <c r="G284" s="13"/>
      <c r="H284" s="15"/>
      <c r="I284" s="12"/>
      <c r="J284" s="12"/>
      <c r="K284" s="12"/>
      <c r="L284" s="12"/>
      <c r="M284" s="12"/>
      <c r="N284" s="12"/>
      <c r="O284" s="12"/>
      <c r="P284" s="12"/>
      <c r="Q284" s="12"/>
      <c r="R284" s="12"/>
      <c r="S284" s="12"/>
      <c r="T284" s="16"/>
    </row>
    <row r="285" spans="1:20" x14ac:dyDescent="0.25">
      <c r="A285" s="12"/>
      <c r="B285" s="12"/>
      <c r="C285" s="12"/>
      <c r="D285" s="12"/>
      <c r="E285" s="13"/>
      <c r="F285" s="14">
        <f>IF(E285="","",E285-TODAY())</f>
      </c>
      <c r="G285" s="13"/>
      <c r="H285" s="15"/>
      <c r="I285" s="12"/>
      <c r="J285" s="12"/>
      <c r="K285" s="12"/>
      <c r="L285" s="12"/>
      <c r="M285" s="12"/>
      <c r="N285" s="12"/>
      <c r="O285" s="12"/>
      <c r="P285" s="12"/>
      <c r="Q285" s="12"/>
      <c r="R285" s="12"/>
      <c r="S285" s="12"/>
      <c r="T285" s="16"/>
    </row>
    <row r="286" spans="1:20" x14ac:dyDescent="0.25">
      <c r="A286" s="12"/>
      <c r="B286" s="12"/>
      <c r="C286" s="12"/>
      <c r="D286" s="12"/>
      <c r="E286" s="13"/>
      <c r="F286" s="14">
        <f>IF(E286="","",E286-TODAY())</f>
      </c>
      <c r="G286" s="13"/>
      <c r="H286" s="15"/>
      <c r="I286" s="12"/>
      <c r="J286" s="12"/>
      <c r="K286" s="12"/>
      <c r="L286" s="12"/>
      <c r="M286" s="12"/>
      <c r="N286" s="12"/>
      <c r="O286" s="12"/>
      <c r="P286" s="12"/>
      <c r="Q286" s="12"/>
      <c r="R286" s="12"/>
      <c r="S286" s="12"/>
      <c r="T286" s="16"/>
    </row>
    <row r="287" spans="1:20" x14ac:dyDescent="0.25">
      <c r="A287" s="12"/>
      <c r="B287" s="12"/>
      <c r="C287" s="12"/>
      <c r="D287" s="12"/>
      <c r="E287" s="13"/>
      <c r="F287" s="14">
        <f>IF(E287="","",E287-TODAY())</f>
      </c>
      <c r="G287" s="13"/>
      <c r="H287" s="15"/>
      <c r="I287" s="12"/>
      <c r="J287" s="12"/>
      <c r="K287" s="12"/>
      <c r="L287" s="12"/>
      <c r="M287" s="12"/>
      <c r="N287" s="12"/>
      <c r="O287" s="12"/>
      <c r="P287" s="12"/>
      <c r="Q287" s="12"/>
      <c r="R287" s="12"/>
      <c r="S287" s="12"/>
      <c r="T287" s="16"/>
    </row>
    <row r="288" spans="1:20" x14ac:dyDescent="0.25">
      <c r="A288" s="12"/>
      <c r="B288" s="12"/>
      <c r="C288" s="12"/>
      <c r="D288" s="12"/>
      <c r="E288" s="13"/>
      <c r="F288" s="14">
        <f>IF(E288="","",E288-TODAY())</f>
      </c>
      <c r="G288" s="13"/>
      <c r="H288" s="15"/>
      <c r="I288" s="12"/>
      <c r="J288" s="12"/>
      <c r="K288" s="12"/>
      <c r="L288" s="12"/>
      <c r="M288" s="12"/>
      <c r="N288" s="12"/>
      <c r="O288" s="12"/>
      <c r="P288" s="12"/>
      <c r="Q288" s="12"/>
      <c r="R288" s="12"/>
      <c r="S288" s="12"/>
      <c r="T288" s="16"/>
    </row>
    <row r="289" spans="1:20" x14ac:dyDescent="0.25">
      <c r="A289" s="12"/>
      <c r="B289" s="12"/>
      <c r="C289" s="12"/>
      <c r="D289" s="12"/>
      <c r="E289" s="13"/>
      <c r="F289" s="14">
        <f>IF(E289="","",E289-TODAY())</f>
      </c>
      <c r="G289" s="13"/>
      <c r="H289" s="15"/>
      <c r="I289" s="12"/>
      <c r="J289" s="12"/>
      <c r="K289" s="12"/>
      <c r="L289" s="12"/>
      <c r="M289" s="12"/>
      <c r="N289" s="12"/>
      <c r="O289" s="12"/>
      <c r="P289" s="12"/>
      <c r="Q289" s="12"/>
      <c r="R289" s="12"/>
      <c r="S289" s="12"/>
      <c r="T289" s="16"/>
    </row>
    <row r="290" spans="1:20" x14ac:dyDescent="0.25">
      <c r="A290" s="12"/>
      <c r="B290" s="12"/>
      <c r="C290" s="12"/>
      <c r="D290" s="12"/>
      <c r="E290" s="13"/>
      <c r="F290" s="14">
        <f>IF(E290="","",E290-TODAY())</f>
      </c>
      <c r="G290" s="13"/>
      <c r="H290" s="15"/>
      <c r="I290" s="12"/>
      <c r="J290" s="12"/>
      <c r="K290" s="12"/>
      <c r="L290" s="12"/>
      <c r="M290" s="12"/>
      <c r="N290" s="12"/>
      <c r="O290" s="12"/>
      <c r="P290" s="12"/>
      <c r="Q290" s="12"/>
      <c r="R290" s="12"/>
      <c r="S290" s="12"/>
      <c r="T290" s="16"/>
    </row>
    <row r="291" spans="1:20" x14ac:dyDescent="0.25">
      <c r="A291" s="12"/>
      <c r="B291" s="12"/>
      <c r="C291" s="12"/>
      <c r="D291" s="12"/>
      <c r="E291" s="13"/>
      <c r="F291" s="14">
        <f>IF(E291="","",E291-TODAY())</f>
      </c>
      <c r="G291" s="13"/>
      <c r="H291" s="15"/>
      <c r="I291" s="12"/>
      <c r="J291" s="12"/>
      <c r="K291" s="12"/>
      <c r="L291" s="12"/>
      <c r="M291" s="12"/>
      <c r="N291" s="12"/>
      <c r="O291" s="12"/>
      <c r="P291" s="12"/>
      <c r="Q291" s="12"/>
      <c r="R291" s="12"/>
      <c r="S291" s="12"/>
      <c r="T291" s="16"/>
    </row>
    <row r="292" spans="1:20" x14ac:dyDescent="0.25">
      <c r="A292" s="12"/>
      <c r="B292" s="12"/>
      <c r="C292" s="12"/>
      <c r="D292" s="12"/>
      <c r="E292" s="13"/>
      <c r="F292" s="14">
        <f>IF(E292="","",E292-TODAY())</f>
      </c>
      <c r="G292" s="13"/>
      <c r="H292" s="15"/>
      <c r="I292" s="12"/>
      <c r="J292" s="12"/>
      <c r="K292" s="12"/>
      <c r="L292" s="12"/>
      <c r="M292" s="12"/>
      <c r="N292" s="12"/>
      <c r="O292" s="12"/>
      <c r="P292" s="12"/>
      <c r="Q292" s="12"/>
      <c r="R292" s="12"/>
      <c r="S292" s="12"/>
      <c r="T292" s="16"/>
    </row>
    <row r="293" spans="1:20" x14ac:dyDescent="0.25">
      <c r="A293" s="12"/>
      <c r="B293" s="12"/>
      <c r="C293" s="12"/>
      <c r="D293" s="12"/>
      <c r="E293" s="13"/>
      <c r="F293" s="14">
        <f>IF(E293="","",E293-TODAY())</f>
      </c>
      <c r="G293" s="13"/>
      <c r="H293" s="15"/>
      <c r="I293" s="12"/>
      <c r="J293" s="12"/>
      <c r="K293" s="12"/>
      <c r="L293" s="12"/>
      <c r="M293" s="12"/>
      <c r="N293" s="12"/>
      <c r="O293" s="12"/>
      <c r="P293" s="12"/>
      <c r="Q293" s="12"/>
      <c r="R293" s="12"/>
      <c r="S293" s="12"/>
      <c r="T293" s="16"/>
    </row>
    <row r="294" spans="1:20" x14ac:dyDescent="0.25">
      <c r="A294" s="12"/>
      <c r="B294" s="12"/>
      <c r="C294" s="12"/>
      <c r="D294" s="12"/>
      <c r="E294" s="13"/>
      <c r="F294" s="14">
        <f>IF(E294="","",E294-TODAY())</f>
      </c>
      <c r="G294" s="13"/>
      <c r="H294" s="15"/>
      <c r="I294" s="12"/>
      <c r="J294" s="12"/>
      <c r="K294" s="12"/>
      <c r="L294" s="12"/>
      <c r="M294" s="12"/>
      <c r="N294" s="12"/>
      <c r="O294" s="12"/>
      <c r="P294" s="12"/>
      <c r="Q294" s="12"/>
      <c r="R294" s="12"/>
      <c r="S294" s="12"/>
      <c r="T294" s="16"/>
    </row>
    <row r="295" spans="1:20" x14ac:dyDescent="0.25">
      <c r="A295" s="12"/>
      <c r="B295" s="12"/>
      <c r="C295" s="12"/>
      <c r="D295" s="12"/>
      <c r="E295" s="13"/>
      <c r="F295" s="14">
        <f>IF(E295="","",E295-TODAY())</f>
      </c>
      <c r="G295" s="13"/>
      <c r="H295" s="15"/>
      <c r="I295" s="12"/>
      <c r="J295" s="12"/>
      <c r="K295" s="12"/>
      <c r="L295" s="12"/>
      <c r="M295" s="12"/>
      <c r="N295" s="12"/>
      <c r="O295" s="12"/>
      <c r="P295" s="12"/>
      <c r="Q295" s="12"/>
      <c r="R295" s="12"/>
      <c r="S295" s="12"/>
      <c r="T295" s="16"/>
    </row>
    <row r="296" spans="1:20" x14ac:dyDescent="0.25">
      <c r="A296" s="12"/>
      <c r="B296" s="12"/>
      <c r="C296" s="12"/>
      <c r="D296" s="12"/>
      <c r="E296" s="13"/>
      <c r="F296" s="14">
        <f>IF(E296="","",E296-TODAY())</f>
      </c>
      <c r="G296" s="13"/>
      <c r="H296" s="15"/>
      <c r="I296" s="12"/>
      <c r="J296" s="12"/>
      <c r="K296" s="12"/>
      <c r="L296" s="12"/>
      <c r="M296" s="12"/>
      <c r="N296" s="12"/>
      <c r="O296" s="12"/>
      <c r="P296" s="12"/>
      <c r="Q296" s="12"/>
      <c r="R296" s="12"/>
      <c r="S296" s="12"/>
      <c r="T296" s="16"/>
    </row>
    <row r="297" spans="1:20" x14ac:dyDescent="0.25">
      <c r="A297" s="12"/>
      <c r="B297" s="12"/>
      <c r="C297" s="12"/>
      <c r="D297" s="12"/>
      <c r="E297" s="13"/>
      <c r="F297" s="14">
        <f>IF(E297="","",E297-TODAY())</f>
      </c>
      <c r="G297" s="13"/>
      <c r="H297" s="15"/>
      <c r="I297" s="12"/>
      <c r="J297" s="12"/>
      <c r="K297" s="12"/>
      <c r="L297" s="12"/>
      <c r="M297" s="12"/>
      <c r="N297" s="12"/>
      <c r="O297" s="12"/>
      <c r="P297" s="12"/>
      <c r="Q297" s="12"/>
      <c r="R297" s="12"/>
      <c r="S297" s="12"/>
      <c r="T297" s="16"/>
    </row>
    <row r="298" spans="1:20" x14ac:dyDescent="0.25">
      <c r="A298" s="12"/>
      <c r="B298" s="12"/>
      <c r="C298" s="12"/>
      <c r="D298" s="12"/>
      <c r="E298" s="13"/>
      <c r="F298" s="14">
        <f>IF(E298="","",E298-TODAY())</f>
      </c>
      <c r="G298" s="13"/>
      <c r="H298" s="15"/>
      <c r="I298" s="12"/>
      <c r="J298" s="12"/>
      <c r="K298" s="12"/>
      <c r="L298" s="12"/>
      <c r="M298" s="12"/>
      <c r="N298" s="12"/>
      <c r="O298" s="12"/>
      <c r="P298" s="12"/>
      <c r="Q298" s="12"/>
      <c r="R298" s="12"/>
      <c r="S298" s="12"/>
      <c r="T298" s="16"/>
    </row>
    <row r="299" spans="1:20" x14ac:dyDescent="0.25">
      <c r="A299" s="12"/>
      <c r="B299" s="12"/>
      <c r="C299" s="12"/>
      <c r="D299" s="12"/>
      <c r="E299" s="13"/>
      <c r="F299" s="14">
        <f>IF(E299="","",E299-TODAY())</f>
      </c>
      <c r="G299" s="13"/>
      <c r="H299" s="15"/>
      <c r="I299" s="12"/>
      <c r="J299" s="12"/>
      <c r="K299" s="12"/>
      <c r="L299" s="12"/>
      <c r="M299" s="12"/>
      <c r="N299" s="12"/>
      <c r="O299" s="12"/>
      <c r="P299" s="12"/>
      <c r="Q299" s="12"/>
      <c r="R299" s="12"/>
      <c r="S299" s="12"/>
      <c r="T299" s="16"/>
    </row>
    <row r="300" spans="1:20" x14ac:dyDescent="0.25">
      <c r="A300" s="12"/>
      <c r="B300" s="12"/>
      <c r="C300" s="12"/>
      <c r="D300" s="12"/>
      <c r="E300" s="13"/>
      <c r="F300" s="14">
        <f>IF(E300="","",E300-TODAY())</f>
      </c>
      <c r="G300" s="13"/>
      <c r="H300" s="15"/>
      <c r="I300" s="12"/>
      <c r="J300" s="12"/>
      <c r="K300" s="12"/>
      <c r="L300" s="12"/>
      <c r="M300" s="12"/>
      <c r="N300" s="12"/>
      <c r="O300" s="12"/>
      <c r="P300" s="12"/>
      <c r="Q300" s="12"/>
      <c r="R300" s="12"/>
      <c r="S300" s="12"/>
      <c r="T300" s="16"/>
    </row>
    <row r="301" spans="1:20" x14ac:dyDescent="0.25">
      <c r="A301" s="12"/>
      <c r="B301" s="12"/>
      <c r="C301" s="12"/>
      <c r="D301" s="12"/>
      <c r="E301" s="13"/>
      <c r="F301" s="14">
        <f>IF(E301="","",E301-TODAY())</f>
      </c>
      <c r="G301" s="13"/>
      <c r="H301" s="15"/>
      <c r="I301" s="12"/>
      <c r="J301" s="12"/>
      <c r="K301" s="12"/>
      <c r="L301" s="12"/>
      <c r="M301" s="12"/>
      <c r="N301" s="12"/>
      <c r="O301" s="12"/>
      <c r="P301" s="12"/>
      <c r="Q301" s="12"/>
      <c r="R301" s="12"/>
      <c r="S301" s="12"/>
      <c r="T301" s="16"/>
    </row>
  </sheetData>
  <autoFilter ref="A1:T1"/>
  <conditionalFormatting sqref="F2:F301">
    <cfRule type="expression" dxfId="0" priority="1">
      <formula>AND(ISNUMBER(F2),F2&lt;0)</formula>
    </cfRule>
    <cfRule type="expression" dxfId="1" priority="2">
      <formula>AND(ISNUMBER(F2),F2&lt;=7)</formula>
    </cfRule>
    <cfRule type="expression" dxfId="2" priority="3">
      <formula>AND(ISNUMBER(F2),F2&lt;=21)</formula>
    </cfRule>
  </conditionalFormatting>
  <conditionalFormatting sqref="R2:R301">
    <cfRule type="cellIs" dxfId="3" priority="4" operator="equal">
      <formula>"Admitted"</formula>
    </cfRule>
    <cfRule type="cellIs" dxfId="4" priority="5" operator="equal">
      <formula>"Submitted"</formula>
    </cfRule>
    <cfRule type="cellIs" dxfId="5" priority="6" operator="equal">
      <formula>"Interview"</formula>
    </cfRule>
    <cfRule type="cellIs" dxfId="6" priority="7" operator="equal">
      <formula>"Rejected"</formula>
    </cfRule>
  </conditionalFormatting>
  <conditionalFormatting sqref="I2:I301">
    <cfRule type="cellIs" dxfId="7" priority="8" operator="equal">
      <formula>"Available"</formula>
    </cfRule>
    <cfRule type="cellIs" dxfId="8" priority="9" operator="equal">
      <formula>"Granted"</formula>
    </cfRule>
  </conditionalFormatting>
  <dataValidations count="10">
    <dataValidation type="list" allowBlank="1" showErrorMessage="1" errorStyle="warning" errorTitle="Pick from the list" error="Choose one of: Not available, Available, Requested, Granted, Denied" sqref="I10:I301">
      <formula1>Lists!$B$2:$B$6</formula1>
    </dataValidation>
    <dataValidation type="list" allowBlank="1" showErrorMessage="1" errorStyle="warning" errorTitle="Pick from the list" error="Choose one of: Not available, Available, Requested, Granted, Denied" sqref="I2:I301">
      <formula1>Lists!$B$2:$B$6</formula1>
    </dataValidation>
    <dataValidation type="list" allowBlank="1" showErrorMessage="1" errorStyle="warning" errorTitle="Pick from the list" error="Choose one of: Required, Optional, Not accepted, Waived" sqref="J10:J301">
      <formula1>Lists!$C$2:$C$5</formula1>
    </dataValidation>
    <dataValidation type="list" allowBlank="1" showErrorMessage="1" errorStyle="warning" errorTitle="Pick from the list" error="Choose one of: Required, Optional, Not accepted, Waived" sqref="J2:J301">
      <formula1>Lists!$C$2:$C$5</formula1>
    </dataValidation>
    <dataValidation type="list" allowBlank="1" showErrorMessage="1" errorStyle="warning" errorTitle="Pick from the list" error="Choose one of: Not started, Draft, Final, Submitted, N/A" sqref="L10:M301">
      <formula1>Lists!$D$2:$D$6</formula1>
    </dataValidation>
    <dataValidation type="list" allowBlank="1" showErrorMessage="1" errorStyle="warning" errorTitle="Pick from the list" error="Choose one of: Not started, Draft, Final, Submitted, N/A" sqref="L2:M301">
      <formula1>Lists!$D$2:$D$6</formula1>
    </dataValidation>
    <dataValidation type="list" allowBlank="1" showErrorMessage="1" errorStyle="warning" errorTitle="Pick from the list" error="Choose one of: Yes, No" sqref="P10:Q301">
      <formula1>Lists!$E$2:$E$3</formula1>
    </dataValidation>
    <dataValidation type="list" allowBlank="1" showErrorMessage="1" errorStyle="warning" errorTitle="Pick from the list" error="Choose one of: Yes, No" sqref="P2:Q301">
      <formula1>Lists!$E$2:$E$3</formula1>
    </dataValidation>
    <dataValidation type="list" allowBlank="1" showErrorMessage="1" errorStyle="warning" errorTitle="Pick from the list" error="Choose one of: Not started, In progress, Submitted, Interview, Admitted, Rejected, Waitlisted, Withdrawn" sqref="R10:R301">
      <formula1>Lists!$A$2:$A$9</formula1>
    </dataValidation>
    <dataValidation type="list" allowBlank="1" showErrorMessage="1" errorStyle="warning" errorTitle="Pick from the list" error="Choose one of: Not started, In progress, Submitted, Interview, Admitted, Rejected, Waitlisted, Withdrawn" sqref="R2:R301">
      <formula1>Lists!$A$2:$A$9</formula1>
    </dataValidation>
  </dataValidations>
  <pageMargins left="0.7" right="0.7" top="0.75" bottom="0.75" header="0.3" footer="0.3"/>
  <pageSetup orientation="portrait" horizontalDpi="4294967295" verticalDpi="4294967295" scale="100" fitToWidth="1" fitToHeight="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B7791F"/>
  </sheetPr>
  <dimension ref="A1:L301"/>
  <sheetViews>
    <sheetView workbookViewId="0">
      <pane xSplit="1" ySplit="1" topLeftCell="B2" activePane="bottomRight" state="frozen"/>
      <selection pane="bottomRight"/>
    </sheetView>
  </sheetViews>
  <sheetFormatPr defaultRowHeight="15" outlineLevelRow="0" outlineLevelCol="0" x14ac:dyDescent="55"/>
  <cols>
    <col min="1" max="3" width="24" customWidth="1"/>
    <col min="4" max="4" width="8" customWidth="1"/>
    <col min="5" max="5" width="18" customWidth="1"/>
    <col min="6" max="7" width="12" customWidth="1"/>
    <col min="8" max="8" width="11" customWidth="1"/>
    <col min="9" max="9" width="12" customWidth="1"/>
    <col min="10" max="10" width="18" customWidth="1"/>
    <col min="11" max="11" width="13" customWidth="1"/>
    <col min="12" max="12" width="44" customWidth="1"/>
  </cols>
  <sheetData>
    <row r="1" ht="30" customHeight="1" spans="1:12" x14ac:dyDescent="0.25">
      <c r="A1" s="10" t="s">
        <v>69</v>
      </c>
      <c r="B1" s="10" t="s">
        <v>37</v>
      </c>
      <c r="C1" s="10" t="s">
        <v>70</v>
      </c>
      <c r="D1" s="10" t="s">
        <v>71</v>
      </c>
      <c r="E1" s="10" t="s">
        <v>72</v>
      </c>
      <c r="F1" s="10" t="s">
        <v>73</v>
      </c>
      <c r="G1" s="11" t="s">
        <v>74</v>
      </c>
      <c r="H1" s="11" t="s">
        <v>75</v>
      </c>
      <c r="I1" s="10" t="s">
        <v>76</v>
      </c>
      <c r="J1" s="10" t="s">
        <v>77</v>
      </c>
      <c r="K1" s="10" t="s">
        <v>78</v>
      </c>
      <c r="L1" s="10" t="s">
        <v>56</v>
      </c>
    </row>
    <row r="2" spans="1:12" x14ac:dyDescent="0.25">
      <c r="A2" s="12" t="s">
        <v>79</v>
      </c>
      <c r="B2" s="12" t="s">
        <v>80</v>
      </c>
      <c r="C2" s="12" t="s">
        <v>81</v>
      </c>
      <c r="D2" s="12">
        <v>78</v>
      </c>
      <c r="E2" s="12" t="s">
        <v>73</v>
      </c>
      <c r="F2" s="13">
        <v>46280</v>
      </c>
      <c r="G2" s="13">
        <f>IF(OR(F2="",I2&lt;&gt;""),"",WORKDAY(F2,Dashboard!$B$22))</f>
      </c>
      <c r="H2" s="12">
        <f>IF(G2="","",IF(I2&lt;&gt;"","Replied",IF(G2&lt;=TODAY(),"DUE","Waiting")))</f>
      </c>
      <c r="I2" s="13"/>
      <c r="J2" s="12"/>
      <c r="K2" s="13"/>
      <c r="L2" s="16" t="s">
        <v>82</v>
      </c>
    </row>
    <row r="3" spans="1:12" x14ac:dyDescent="0.25">
      <c r="A3" s="12"/>
      <c r="B3" s="12"/>
      <c r="C3" s="12"/>
      <c r="D3" s="12"/>
      <c r="E3" s="12"/>
      <c r="F3" s="13"/>
      <c r="G3" s="13">
        <f>IF(OR(F3="",I3&lt;&gt;""),"",WORKDAY(F3,Dashboard!$B$22))</f>
      </c>
      <c r="H3" s="12">
        <f>IF(G3="","",IF(I3&lt;&gt;"","Replied",IF(G3&lt;=TODAY(),"DUE","Waiting")))</f>
      </c>
      <c r="I3" s="13"/>
      <c r="J3" s="12"/>
      <c r="K3" s="13"/>
      <c r="L3" s="16"/>
    </row>
    <row r="4" spans="1:12" x14ac:dyDescent="0.25">
      <c r="A4" s="12"/>
      <c r="B4" s="12"/>
      <c r="C4" s="12"/>
      <c r="D4" s="12"/>
      <c r="E4" s="12"/>
      <c r="F4" s="13"/>
      <c r="G4" s="13">
        <f>IF(OR(F4="",I4&lt;&gt;""),"",WORKDAY(F4,Dashboard!$B$22))</f>
      </c>
      <c r="H4" s="12">
        <f>IF(G4="","",IF(I4&lt;&gt;"","Replied",IF(G4&lt;=TODAY(),"DUE","Waiting")))</f>
      </c>
      <c r="I4" s="13"/>
      <c r="J4" s="12"/>
      <c r="K4" s="13"/>
      <c r="L4" s="16"/>
    </row>
    <row r="5" spans="1:12" x14ac:dyDescent="0.25">
      <c r="A5" s="12"/>
      <c r="B5" s="12"/>
      <c r="C5" s="12"/>
      <c r="D5" s="12"/>
      <c r="E5" s="12"/>
      <c r="F5" s="13"/>
      <c r="G5" s="13">
        <f>IF(OR(F5="",I5&lt;&gt;""),"",WORKDAY(F5,Dashboard!$B$22))</f>
      </c>
      <c r="H5" s="12">
        <f>IF(G5="","",IF(I5&lt;&gt;"","Replied",IF(G5&lt;=TODAY(),"DUE","Waiting")))</f>
      </c>
      <c r="I5" s="13"/>
      <c r="J5" s="12"/>
      <c r="K5" s="13"/>
      <c r="L5" s="16"/>
    </row>
    <row r="6" spans="1:12" x14ac:dyDescent="0.25">
      <c r="A6" s="12"/>
      <c r="B6" s="12"/>
      <c r="C6" s="12"/>
      <c r="D6" s="12"/>
      <c r="E6" s="12"/>
      <c r="F6" s="13"/>
      <c r="G6" s="13">
        <f>IF(OR(F6="",I6&lt;&gt;""),"",WORKDAY(F6,Dashboard!$B$22))</f>
      </c>
      <c r="H6" s="12">
        <f>IF(G6="","",IF(I6&lt;&gt;"","Replied",IF(G6&lt;=TODAY(),"DUE","Waiting")))</f>
      </c>
      <c r="I6" s="13"/>
      <c r="J6" s="12"/>
      <c r="K6" s="13"/>
      <c r="L6" s="16"/>
    </row>
    <row r="7" spans="1:12" x14ac:dyDescent="0.25">
      <c r="A7" s="12"/>
      <c r="B7" s="12"/>
      <c r="C7" s="12"/>
      <c r="D7" s="12"/>
      <c r="E7" s="12"/>
      <c r="F7" s="13"/>
      <c r="G7" s="13">
        <f>IF(OR(F7="",I7&lt;&gt;""),"",WORKDAY(F7,Dashboard!$B$22))</f>
      </c>
      <c r="H7" s="12">
        <f>IF(G7="","",IF(I7&lt;&gt;"","Replied",IF(G7&lt;=TODAY(),"DUE","Waiting")))</f>
      </c>
      <c r="I7" s="13"/>
      <c r="J7" s="12"/>
      <c r="K7" s="13"/>
      <c r="L7" s="16"/>
    </row>
    <row r="8" spans="1:12" x14ac:dyDescent="0.25">
      <c r="A8" s="12"/>
      <c r="B8" s="12"/>
      <c r="C8" s="12"/>
      <c r="D8" s="12"/>
      <c r="E8" s="12"/>
      <c r="F8" s="13"/>
      <c r="G8" s="13">
        <f>IF(OR(F8="",I8&lt;&gt;""),"",WORKDAY(F8,Dashboard!$B$22))</f>
      </c>
      <c r="H8" s="12">
        <f>IF(G8="","",IF(I8&lt;&gt;"","Replied",IF(G8&lt;=TODAY(),"DUE","Waiting")))</f>
      </c>
      <c r="I8" s="13"/>
      <c r="J8" s="12"/>
      <c r="K8" s="13"/>
      <c r="L8" s="16"/>
    </row>
    <row r="9" spans="1:12" x14ac:dyDescent="0.25">
      <c r="A9" s="12"/>
      <c r="B9" s="12"/>
      <c r="C9" s="12"/>
      <c r="D9" s="12"/>
      <c r="E9" s="12"/>
      <c r="F9" s="13"/>
      <c r="G9" s="13">
        <f>IF(OR(F9="",I9&lt;&gt;""),"",WORKDAY(F9,Dashboard!$B$22))</f>
      </c>
      <c r="H9" s="12">
        <f>IF(G9="","",IF(I9&lt;&gt;"","Replied",IF(G9&lt;=TODAY(),"DUE","Waiting")))</f>
      </c>
      <c r="I9" s="13"/>
      <c r="J9" s="12"/>
      <c r="K9" s="13"/>
      <c r="L9" s="16"/>
    </row>
    <row r="10" spans="1:12" x14ac:dyDescent="0.25">
      <c r="A10" s="12"/>
      <c r="B10" s="12"/>
      <c r="C10" s="12"/>
      <c r="D10" s="12"/>
      <c r="E10" s="12"/>
      <c r="F10" s="13"/>
      <c r="G10" s="13">
        <f>IF(OR(F10="",I10&lt;&gt;""),"",WORKDAY(F10,Dashboard!$B$22))</f>
      </c>
      <c r="H10" s="12">
        <f>IF(G10="","",IF(I10&lt;&gt;"","Replied",IF(G10&lt;=TODAY(),"DUE","Waiting")))</f>
      </c>
      <c r="I10" s="13"/>
      <c r="J10" s="12"/>
      <c r="K10" s="13"/>
      <c r="L10" s="16"/>
    </row>
    <row r="11" spans="1:12" x14ac:dyDescent="0.25">
      <c r="A11" s="12"/>
      <c r="B11" s="12"/>
      <c r="C11" s="12"/>
      <c r="D11" s="12"/>
      <c r="E11" s="12"/>
      <c r="F11" s="13"/>
      <c r="G11" s="13">
        <f>IF(OR(F11="",I11&lt;&gt;""),"",WORKDAY(F11,Dashboard!$B$22))</f>
      </c>
      <c r="H11" s="12">
        <f>IF(G11="","",IF(I11&lt;&gt;"","Replied",IF(G11&lt;=TODAY(),"DUE","Waiting")))</f>
      </c>
      <c r="I11" s="13"/>
      <c r="J11" s="12"/>
      <c r="K11" s="13"/>
      <c r="L11" s="16"/>
    </row>
    <row r="12" spans="1:12" x14ac:dyDescent="0.25">
      <c r="A12" s="12"/>
      <c r="B12" s="12"/>
      <c r="C12" s="12"/>
      <c r="D12" s="12"/>
      <c r="E12" s="12"/>
      <c r="F12" s="13"/>
      <c r="G12" s="13">
        <f>IF(OR(F12="",I12&lt;&gt;""),"",WORKDAY(F12,Dashboard!$B$22))</f>
      </c>
      <c r="H12" s="12">
        <f>IF(G12="","",IF(I12&lt;&gt;"","Replied",IF(G12&lt;=TODAY(),"DUE","Waiting")))</f>
      </c>
      <c r="I12" s="13"/>
      <c r="J12" s="12"/>
      <c r="K12" s="13"/>
      <c r="L12" s="16"/>
    </row>
    <row r="13" spans="1:12" x14ac:dyDescent="0.25">
      <c r="A13" s="12"/>
      <c r="B13" s="12"/>
      <c r="C13" s="12"/>
      <c r="D13" s="12"/>
      <c r="E13" s="12"/>
      <c r="F13" s="13"/>
      <c r="G13" s="13">
        <f>IF(OR(F13="",I13&lt;&gt;""),"",WORKDAY(F13,Dashboard!$B$22))</f>
      </c>
      <c r="H13" s="12">
        <f>IF(G13="","",IF(I13&lt;&gt;"","Replied",IF(G13&lt;=TODAY(),"DUE","Waiting")))</f>
      </c>
      <c r="I13" s="13"/>
      <c r="J13" s="12"/>
      <c r="K13" s="13"/>
      <c r="L13" s="16"/>
    </row>
    <row r="14" spans="1:12" x14ac:dyDescent="0.25">
      <c r="A14" s="12"/>
      <c r="B14" s="12"/>
      <c r="C14" s="12"/>
      <c r="D14" s="12"/>
      <c r="E14" s="12"/>
      <c r="F14" s="13"/>
      <c r="G14" s="13">
        <f>IF(OR(F14="",I14&lt;&gt;""),"",WORKDAY(F14,Dashboard!$B$22))</f>
      </c>
      <c r="H14" s="12">
        <f>IF(G14="","",IF(I14&lt;&gt;"","Replied",IF(G14&lt;=TODAY(),"DUE","Waiting")))</f>
      </c>
      <c r="I14" s="13"/>
      <c r="J14" s="12"/>
      <c r="K14" s="13"/>
      <c r="L14" s="16"/>
    </row>
    <row r="15" spans="1:12" x14ac:dyDescent="0.25">
      <c r="A15" s="12"/>
      <c r="B15" s="12"/>
      <c r="C15" s="12"/>
      <c r="D15" s="12"/>
      <c r="E15" s="12"/>
      <c r="F15" s="13"/>
      <c r="G15" s="13">
        <f>IF(OR(F15="",I15&lt;&gt;""),"",WORKDAY(F15,Dashboard!$B$22))</f>
      </c>
      <c r="H15" s="12">
        <f>IF(G15="","",IF(I15&lt;&gt;"","Replied",IF(G15&lt;=TODAY(),"DUE","Waiting")))</f>
      </c>
      <c r="I15" s="13"/>
      <c r="J15" s="12"/>
      <c r="K15" s="13"/>
      <c r="L15" s="16"/>
    </row>
    <row r="16" spans="1:12" x14ac:dyDescent="0.25">
      <c r="A16" s="12"/>
      <c r="B16" s="12"/>
      <c r="C16" s="12"/>
      <c r="D16" s="12"/>
      <c r="E16" s="12"/>
      <c r="F16" s="13"/>
      <c r="G16" s="13">
        <f>IF(OR(F16="",I16&lt;&gt;""),"",WORKDAY(F16,Dashboard!$B$22))</f>
      </c>
      <c r="H16" s="12">
        <f>IF(G16="","",IF(I16&lt;&gt;"","Replied",IF(G16&lt;=TODAY(),"DUE","Waiting")))</f>
      </c>
      <c r="I16" s="13"/>
      <c r="J16" s="12"/>
      <c r="K16" s="13"/>
      <c r="L16" s="16"/>
    </row>
    <row r="17" spans="1:12" x14ac:dyDescent="0.25">
      <c r="A17" s="12"/>
      <c r="B17" s="12"/>
      <c r="C17" s="12"/>
      <c r="D17" s="12"/>
      <c r="E17" s="12"/>
      <c r="F17" s="13"/>
      <c r="G17" s="13">
        <f>IF(OR(F17="",I17&lt;&gt;""),"",WORKDAY(F17,Dashboard!$B$22))</f>
      </c>
      <c r="H17" s="12">
        <f>IF(G17="","",IF(I17&lt;&gt;"","Replied",IF(G17&lt;=TODAY(),"DUE","Waiting")))</f>
      </c>
      <c r="I17" s="13"/>
      <c r="J17" s="12"/>
      <c r="K17" s="13"/>
      <c r="L17" s="16"/>
    </row>
    <row r="18" spans="1:12" x14ac:dyDescent="0.25">
      <c r="A18" s="12"/>
      <c r="B18" s="12"/>
      <c r="C18" s="12"/>
      <c r="D18" s="12"/>
      <c r="E18" s="12"/>
      <c r="F18" s="13"/>
      <c r="G18" s="13">
        <f>IF(OR(F18="",I18&lt;&gt;""),"",WORKDAY(F18,Dashboard!$B$22))</f>
      </c>
      <c r="H18" s="12">
        <f>IF(G18="","",IF(I18&lt;&gt;"","Replied",IF(G18&lt;=TODAY(),"DUE","Waiting")))</f>
      </c>
      <c r="I18" s="13"/>
      <c r="J18" s="12"/>
      <c r="K18" s="13"/>
      <c r="L18" s="16"/>
    </row>
    <row r="19" spans="1:12" x14ac:dyDescent="0.25">
      <c r="A19" s="12"/>
      <c r="B19" s="12"/>
      <c r="C19" s="12"/>
      <c r="D19" s="12"/>
      <c r="E19" s="12"/>
      <c r="F19" s="13"/>
      <c r="G19" s="13">
        <f>IF(OR(F19="",I19&lt;&gt;""),"",WORKDAY(F19,Dashboard!$B$22))</f>
      </c>
      <c r="H19" s="12">
        <f>IF(G19="","",IF(I19&lt;&gt;"","Replied",IF(G19&lt;=TODAY(),"DUE","Waiting")))</f>
      </c>
      <c r="I19" s="13"/>
      <c r="J19" s="12"/>
      <c r="K19" s="13"/>
      <c r="L19" s="16"/>
    </row>
    <row r="20" spans="1:12" x14ac:dyDescent="0.25">
      <c r="A20" s="12"/>
      <c r="B20" s="12"/>
      <c r="C20" s="12"/>
      <c r="D20" s="12"/>
      <c r="E20" s="12"/>
      <c r="F20" s="13"/>
      <c r="G20" s="13">
        <f>IF(OR(F20="",I20&lt;&gt;""),"",WORKDAY(F20,Dashboard!$B$22))</f>
      </c>
      <c r="H20" s="12">
        <f>IF(G20="","",IF(I20&lt;&gt;"","Replied",IF(G20&lt;=TODAY(),"DUE","Waiting")))</f>
      </c>
      <c r="I20" s="13"/>
      <c r="J20" s="12"/>
      <c r="K20" s="13"/>
      <c r="L20" s="16"/>
    </row>
    <row r="21" spans="1:12" x14ac:dyDescent="0.25">
      <c r="A21" s="12"/>
      <c r="B21" s="12"/>
      <c r="C21" s="12"/>
      <c r="D21" s="12"/>
      <c r="E21" s="12"/>
      <c r="F21" s="13"/>
      <c r="G21" s="13">
        <f>IF(OR(F21="",I21&lt;&gt;""),"",WORKDAY(F21,Dashboard!$B$22))</f>
      </c>
      <c r="H21" s="12">
        <f>IF(G21="","",IF(I21&lt;&gt;"","Replied",IF(G21&lt;=TODAY(),"DUE","Waiting")))</f>
      </c>
      <c r="I21" s="13"/>
      <c r="J21" s="12"/>
      <c r="K21" s="13"/>
      <c r="L21" s="16"/>
    </row>
    <row r="22" spans="1:12" x14ac:dyDescent="0.25">
      <c r="A22" s="12"/>
      <c r="B22" s="12"/>
      <c r="C22" s="12"/>
      <c r="D22" s="12"/>
      <c r="E22" s="12"/>
      <c r="F22" s="13"/>
      <c r="G22" s="13">
        <f>IF(OR(F22="",I22&lt;&gt;""),"",WORKDAY(F22,Dashboard!$B$22))</f>
      </c>
      <c r="H22" s="12">
        <f>IF(G22="","",IF(I22&lt;&gt;"","Replied",IF(G22&lt;=TODAY(),"DUE","Waiting")))</f>
      </c>
      <c r="I22" s="13"/>
      <c r="J22" s="12"/>
      <c r="K22" s="13"/>
      <c r="L22" s="16"/>
    </row>
    <row r="23" spans="1:12" x14ac:dyDescent="0.25">
      <c r="A23" s="12"/>
      <c r="B23" s="12"/>
      <c r="C23" s="12"/>
      <c r="D23" s="12"/>
      <c r="E23" s="12"/>
      <c r="F23" s="13"/>
      <c r="G23" s="13">
        <f>IF(OR(F23="",I23&lt;&gt;""),"",WORKDAY(F23,Dashboard!$B$22))</f>
      </c>
      <c r="H23" s="12">
        <f>IF(G23="","",IF(I23&lt;&gt;"","Replied",IF(G23&lt;=TODAY(),"DUE","Waiting")))</f>
      </c>
      <c r="I23" s="13"/>
      <c r="J23" s="12"/>
      <c r="K23" s="13"/>
      <c r="L23" s="16"/>
    </row>
    <row r="24" spans="1:12" x14ac:dyDescent="0.25">
      <c r="A24" s="12"/>
      <c r="B24" s="12"/>
      <c r="C24" s="12"/>
      <c r="D24" s="12"/>
      <c r="E24" s="12"/>
      <c r="F24" s="13"/>
      <c r="G24" s="13">
        <f>IF(OR(F24="",I24&lt;&gt;""),"",WORKDAY(F24,Dashboard!$B$22))</f>
      </c>
      <c r="H24" s="12">
        <f>IF(G24="","",IF(I24&lt;&gt;"","Replied",IF(G24&lt;=TODAY(),"DUE","Waiting")))</f>
      </c>
      <c r="I24" s="13"/>
      <c r="J24" s="12"/>
      <c r="K24" s="13"/>
      <c r="L24" s="16"/>
    </row>
    <row r="25" spans="1:12" x14ac:dyDescent="0.25">
      <c r="A25" s="12"/>
      <c r="B25" s="12"/>
      <c r="C25" s="12"/>
      <c r="D25" s="12"/>
      <c r="E25" s="12"/>
      <c r="F25" s="13"/>
      <c r="G25" s="13">
        <f>IF(OR(F25="",I25&lt;&gt;""),"",WORKDAY(F25,Dashboard!$B$22))</f>
      </c>
      <c r="H25" s="12">
        <f>IF(G25="","",IF(I25&lt;&gt;"","Replied",IF(G25&lt;=TODAY(),"DUE","Waiting")))</f>
      </c>
      <c r="I25" s="13"/>
      <c r="J25" s="12"/>
      <c r="K25" s="13"/>
      <c r="L25" s="16"/>
    </row>
    <row r="26" spans="1:12" x14ac:dyDescent="0.25">
      <c r="A26" s="12"/>
      <c r="B26" s="12"/>
      <c r="C26" s="12"/>
      <c r="D26" s="12"/>
      <c r="E26" s="12"/>
      <c r="F26" s="13"/>
      <c r="G26" s="13">
        <f>IF(OR(F26="",I26&lt;&gt;""),"",WORKDAY(F26,Dashboard!$B$22))</f>
      </c>
      <c r="H26" s="12">
        <f>IF(G26="","",IF(I26&lt;&gt;"","Replied",IF(G26&lt;=TODAY(),"DUE","Waiting")))</f>
      </c>
      <c r="I26" s="13"/>
      <c r="J26" s="12"/>
      <c r="K26" s="13"/>
      <c r="L26" s="16"/>
    </row>
    <row r="27" spans="1:12" x14ac:dyDescent="0.25">
      <c r="A27" s="12"/>
      <c r="B27" s="12"/>
      <c r="C27" s="12"/>
      <c r="D27" s="12"/>
      <c r="E27" s="12"/>
      <c r="F27" s="13"/>
      <c r="G27" s="13">
        <f>IF(OR(F27="",I27&lt;&gt;""),"",WORKDAY(F27,Dashboard!$B$22))</f>
      </c>
      <c r="H27" s="12">
        <f>IF(G27="","",IF(I27&lt;&gt;"","Replied",IF(G27&lt;=TODAY(),"DUE","Waiting")))</f>
      </c>
      <c r="I27" s="13"/>
      <c r="J27" s="12"/>
      <c r="K27" s="13"/>
      <c r="L27" s="16"/>
    </row>
    <row r="28" spans="1:12" x14ac:dyDescent="0.25">
      <c r="A28" s="12"/>
      <c r="B28" s="12"/>
      <c r="C28" s="12"/>
      <c r="D28" s="12"/>
      <c r="E28" s="12"/>
      <c r="F28" s="13"/>
      <c r="G28" s="13">
        <f>IF(OR(F28="",I28&lt;&gt;""),"",WORKDAY(F28,Dashboard!$B$22))</f>
      </c>
      <c r="H28" s="12">
        <f>IF(G28="","",IF(I28&lt;&gt;"","Replied",IF(G28&lt;=TODAY(),"DUE","Waiting")))</f>
      </c>
      <c r="I28" s="13"/>
      <c r="J28" s="12"/>
      <c r="K28" s="13"/>
      <c r="L28" s="16"/>
    </row>
    <row r="29" spans="1:12" x14ac:dyDescent="0.25">
      <c r="A29" s="12"/>
      <c r="B29" s="12"/>
      <c r="C29" s="12"/>
      <c r="D29" s="12"/>
      <c r="E29" s="12"/>
      <c r="F29" s="13"/>
      <c r="G29" s="13">
        <f>IF(OR(F29="",I29&lt;&gt;""),"",WORKDAY(F29,Dashboard!$B$22))</f>
      </c>
      <c r="H29" s="12">
        <f>IF(G29="","",IF(I29&lt;&gt;"","Replied",IF(G29&lt;=TODAY(),"DUE","Waiting")))</f>
      </c>
      <c r="I29" s="13"/>
      <c r="J29" s="12"/>
      <c r="K29" s="13"/>
      <c r="L29" s="16"/>
    </row>
    <row r="30" spans="1:12" x14ac:dyDescent="0.25">
      <c r="A30" s="12"/>
      <c r="B30" s="12"/>
      <c r="C30" s="12"/>
      <c r="D30" s="12"/>
      <c r="E30" s="12"/>
      <c r="F30" s="13"/>
      <c r="G30" s="13">
        <f>IF(OR(F30="",I30&lt;&gt;""),"",WORKDAY(F30,Dashboard!$B$22))</f>
      </c>
      <c r="H30" s="12">
        <f>IF(G30="","",IF(I30&lt;&gt;"","Replied",IF(G30&lt;=TODAY(),"DUE","Waiting")))</f>
      </c>
      <c r="I30" s="13"/>
      <c r="J30" s="12"/>
      <c r="K30" s="13"/>
      <c r="L30" s="16"/>
    </row>
    <row r="31" spans="1:12" x14ac:dyDescent="0.25">
      <c r="A31" s="12"/>
      <c r="B31" s="12"/>
      <c r="C31" s="12"/>
      <c r="D31" s="12"/>
      <c r="E31" s="12"/>
      <c r="F31" s="13"/>
      <c r="G31" s="13">
        <f>IF(OR(F31="",I31&lt;&gt;""),"",WORKDAY(F31,Dashboard!$B$22))</f>
      </c>
      <c r="H31" s="12">
        <f>IF(G31="","",IF(I31&lt;&gt;"","Replied",IF(G31&lt;=TODAY(),"DUE","Waiting")))</f>
      </c>
      <c r="I31" s="13"/>
      <c r="J31" s="12"/>
      <c r="K31" s="13"/>
      <c r="L31" s="16"/>
    </row>
    <row r="32" spans="1:12" x14ac:dyDescent="0.25">
      <c r="A32" s="12"/>
      <c r="B32" s="12"/>
      <c r="C32" s="12"/>
      <c r="D32" s="12"/>
      <c r="E32" s="12"/>
      <c r="F32" s="13"/>
      <c r="G32" s="13">
        <f>IF(OR(F32="",I32&lt;&gt;""),"",WORKDAY(F32,Dashboard!$B$22))</f>
      </c>
      <c r="H32" s="12">
        <f>IF(G32="","",IF(I32&lt;&gt;"","Replied",IF(G32&lt;=TODAY(),"DUE","Waiting")))</f>
      </c>
      <c r="I32" s="13"/>
      <c r="J32" s="12"/>
      <c r="K32" s="13"/>
      <c r="L32" s="16"/>
    </row>
    <row r="33" spans="1:12" x14ac:dyDescent="0.25">
      <c r="A33" s="12"/>
      <c r="B33" s="12"/>
      <c r="C33" s="12"/>
      <c r="D33" s="12"/>
      <c r="E33" s="12"/>
      <c r="F33" s="13"/>
      <c r="G33" s="13">
        <f>IF(OR(F33="",I33&lt;&gt;""),"",WORKDAY(F33,Dashboard!$B$22))</f>
      </c>
      <c r="H33" s="12">
        <f>IF(G33="","",IF(I33&lt;&gt;"","Replied",IF(G33&lt;=TODAY(),"DUE","Waiting")))</f>
      </c>
      <c r="I33" s="13"/>
      <c r="J33" s="12"/>
      <c r="K33" s="13"/>
      <c r="L33" s="16"/>
    </row>
    <row r="34" spans="1:12" x14ac:dyDescent="0.25">
      <c r="A34" s="12"/>
      <c r="B34" s="12"/>
      <c r="C34" s="12"/>
      <c r="D34" s="12"/>
      <c r="E34" s="12"/>
      <c r="F34" s="13"/>
      <c r="G34" s="13">
        <f>IF(OR(F34="",I34&lt;&gt;""),"",WORKDAY(F34,Dashboard!$B$22))</f>
      </c>
      <c r="H34" s="12">
        <f>IF(G34="","",IF(I34&lt;&gt;"","Replied",IF(G34&lt;=TODAY(),"DUE","Waiting")))</f>
      </c>
      <c r="I34" s="13"/>
      <c r="J34" s="12"/>
      <c r="K34" s="13"/>
      <c r="L34" s="16"/>
    </row>
    <row r="35" spans="1:12" x14ac:dyDescent="0.25">
      <c r="A35" s="12"/>
      <c r="B35" s="12"/>
      <c r="C35" s="12"/>
      <c r="D35" s="12"/>
      <c r="E35" s="12"/>
      <c r="F35" s="13"/>
      <c r="G35" s="13">
        <f>IF(OR(F35="",I35&lt;&gt;""),"",WORKDAY(F35,Dashboard!$B$22))</f>
      </c>
      <c r="H35" s="12">
        <f>IF(G35="","",IF(I35&lt;&gt;"","Replied",IF(G35&lt;=TODAY(),"DUE","Waiting")))</f>
      </c>
      <c r="I35" s="13"/>
      <c r="J35" s="12"/>
      <c r="K35" s="13"/>
      <c r="L35" s="16"/>
    </row>
    <row r="36" spans="1:12" x14ac:dyDescent="0.25">
      <c r="A36" s="12"/>
      <c r="B36" s="12"/>
      <c r="C36" s="12"/>
      <c r="D36" s="12"/>
      <c r="E36" s="12"/>
      <c r="F36" s="13"/>
      <c r="G36" s="13">
        <f>IF(OR(F36="",I36&lt;&gt;""),"",WORKDAY(F36,Dashboard!$B$22))</f>
      </c>
      <c r="H36" s="12">
        <f>IF(G36="","",IF(I36&lt;&gt;"","Replied",IF(G36&lt;=TODAY(),"DUE","Waiting")))</f>
      </c>
      <c r="I36" s="13"/>
      <c r="J36" s="12"/>
      <c r="K36" s="13"/>
      <c r="L36" s="16"/>
    </row>
    <row r="37" spans="1:12" x14ac:dyDescent="0.25">
      <c r="A37" s="12"/>
      <c r="B37" s="12"/>
      <c r="C37" s="12"/>
      <c r="D37" s="12"/>
      <c r="E37" s="12"/>
      <c r="F37" s="13"/>
      <c r="G37" s="13">
        <f>IF(OR(F37="",I37&lt;&gt;""),"",WORKDAY(F37,Dashboard!$B$22))</f>
      </c>
      <c r="H37" s="12">
        <f>IF(G37="","",IF(I37&lt;&gt;"","Replied",IF(G37&lt;=TODAY(),"DUE","Waiting")))</f>
      </c>
      <c r="I37" s="13"/>
      <c r="J37" s="12"/>
      <c r="K37" s="13"/>
      <c r="L37" s="16"/>
    </row>
    <row r="38" spans="1:12" x14ac:dyDescent="0.25">
      <c r="A38" s="12"/>
      <c r="B38" s="12"/>
      <c r="C38" s="12"/>
      <c r="D38" s="12"/>
      <c r="E38" s="12"/>
      <c r="F38" s="13"/>
      <c r="G38" s="13">
        <f>IF(OR(F38="",I38&lt;&gt;""),"",WORKDAY(F38,Dashboard!$B$22))</f>
      </c>
      <c r="H38" s="12">
        <f>IF(G38="","",IF(I38&lt;&gt;"","Replied",IF(G38&lt;=TODAY(),"DUE","Waiting")))</f>
      </c>
      <c r="I38" s="13"/>
      <c r="J38" s="12"/>
      <c r="K38" s="13"/>
      <c r="L38" s="16"/>
    </row>
    <row r="39" spans="1:12" x14ac:dyDescent="0.25">
      <c r="A39" s="12"/>
      <c r="B39" s="12"/>
      <c r="C39" s="12"/>
      <c r="D39" s="12"/>
      <c r="E39" s="12"/>
      <c r="F39" s="13"/>
      <c r="G39" s="13">
        <f>IF(OR(F39="",I39&lt;&gt;""),"",WORKDAY(F39,Dashboard!$B$22))</f>
      </c>
      <c r="H39" s="12">
        <f>IF(G39="","",IF(I39&lt;&gt;"","Replied",IF(G39&lt;=TODAY(),"DUE","Waiting")))</f>
      </c>
      <c r="I39" s="13"/>
      <c r="J39" s="12"/>
      <c r="K39" s="13"/>
      <c r="L39" s="16"/>
    </row>
    <row r="40" spans="1:12" x14ac:dyDescent="0.25">
      <c r="A40" s="12"/>
      <c r="B40" s="12"/>
      <c r="C40" s="12"/>
      <c r="D40" s="12"/>
      <c r="E40" s="12"/>
      <c r="F40" s="13"/>
      <c r="G40" s="13">
        <f>IF(OR(F40="",I40&lt;&gt;""),"",WORKDAY(F40,Dashboard!$B$22))</f>
      </c>
      <c r="H40" s="12">
        <f>IF(G40="","",IF(I40&lt;&gt;"","Replied",IF(G40&lt;=TODAY(),"DUE","Waiting")))</f>
      </c>
      <c r="I40" s="13"/>
      <c r="J40" s="12"/>
      <c r="K40" s="13"/>
      <c r="L40" s="16"/>
    </row>
    <row r="41" spans="1:12" x14ac:dyDescent="0.25">
      <c r="A41" s="12"/>
      <c r="B41" s="12"/>
      <c r="C41" s="12"/>
      <c r="D41" s="12"/>
      <c r="E41" s="12"/>
      <c r="F41" s="13"/>
      <c r="G41" s="13">
        <f>IF(OR(F41="",I41&lt;&gt;""),"",WORKDAY(F41,Dashboard!$B$22))</f>
      </c>
      <c r="H41" s="12">
        <f>IF(G41="","",IF(I41&lt;&gt;"","Replied",IF(G41&lt;=TODAY(),"DUE","Waiting")))</f>
      </c>
      <c r="I41" s="13"/>
      <c r="J41" s="12"/>
      <c r="K41" s="13"/>
      <c r="L41" s="16"/>
    </row>
    <row r="42" spans="1:12" x14ac:dyDescent="0.25">
      <c r="A42" s="12"/>
      <c r="B42" s="12"/>
      <c r="C42" s="12"/>
      <c r="D42" s="12"/>
      <c r="E42" s="12"/>
      <c r="F42" s="13"/>
      <c r="G42" s="13">
        <f>IF(OR(F42="",I42&lt;&gt;""),"",WORKDAY(F42,Dashboard!$B$22))</f>
      </c>
      <c r="H42" s="12">
        <f>IF(G42="","",IF(I42&lt;&gt;"","Replied",IF(G42&lt;=TODAY(),"DUE","Waiting")))</f>
      </c>
      <c r="I42" s="13"/>
      <c r="J42" s="12"/>
      <c r="K42" s="13"/>
      <c r="L42" s="16"/>
    </row>
    <row r="43" spans="1:12" x14ac:dyDescent="0.25">
      <c r="A43" s="12"/>
      <c r="B43" s="12"/>
      <c r="C43" s="12"/>
      <c r="D43" s="12"/>
      <c r="E43" s="12"/>
      <c r="F43" s="13"/>
      <c r="G43" s="13">
        <f>IF(OR(F43="",I43&lt;&gt;""),"",WORKDAY(F43,Dashboard!$B$22))</f>
      </c>
      <c r="H43" s="12">
        <f>IF(G43="","",IF(I43&lt;&gt;"","Replied",IF(G43&lt;=TODAY(),"DUE","Waiting")))</f>
      </c>
      <c r="I43" s="13"/>
      <c r="J43" s="12"/>
      <c r="K43" s="13"/>
      <c r="L43" s="16"/>
    </row>
    <row r="44" spans="1:12" x14ac:dyDescent="0.25">
      <c r="A44" s="12"/>
      <c r="B44" s="12"/>
      <c r="C44" s="12"/>
      <c r="D44" s="12"/>
      <c r="E44" s="12"/>
      <c r="F44" s="13"/>
      <c r="G44" s="13">
        <f>IF(OR(F44="",I44&lt;&gt;""),"",WORKDAY(F44,Dashboard!$B$22))</f>
      </c>
      <c r="H44" s="12">
        <f>IF(G44="","",IF(I44&lt;&gt;"","Replied",IF(G44&lt;=TODAY(),"DUE","Waiting")))</f>
      </c>
      <c r="I44" s="13"/>
      <c r="J44" s="12"/>
      <c r="K44" s="13"/>
      <c r="L44" s="16"/>
    </row>
    <row r="45" spans="1:12" x14ac:dyDescent="0.25">
      <c r="A45" s="12"/>
      <c r="B45" s="12"/>
      <c r="C45" s="12"/>
      <c r="D45" s="12"/>
      <c r="E45" s="12"/>
      <c r="F45" s="13"/>
      <c r="G45" s="13">
        <f>IF(OR(F45="",I45&lt;&gt;""),"",WORKDAY(F45,Dashboard!$B$22))</f>
      </c>
      <c r="H45" s="12">
        <f>IF(G45="","",IF(I45&lt;&gt;"","Replied",IF(G45&lt;=TODAY(),"DUE","Waiting")))</f>
      </c>
      <c r="I45" s="13"/>
      <c r="J45" s="12"/>
      <c r="K45" s="13"/>
      <c r="L45" s="16"/>
    </row>
    <row r="46" spans="1:12" x14ac:dyDescent="0.25">
      <c r="A46" s="12"/>
      <c r="B46" s="12"/>
      <c r="C46" s="12"/>
      <c r="D46" s="12"/>
      <c r="E46" s="12"/>
      <c r="F46" s="13"/>
      <c r="G46" s="13">
        <f>IF(OR(F46="",I46&lt;&gt;""),"",WORKDAY(F46,Dashboard!$B$22))</f>
      </c>
      <c r="H46" s="12">
        <f>IF(G46="","",IF(I46&lt;&gt;"","Replied",IF(G46&lt;=TODAY(),"DUE","Waiting")))</f>
      </c>
      <c r="I46" s="13"/>
      <c r="J46" s="12"/>
      <c r="K46" s="13"/>
      <c r="L46" s="16"/>
    </row>
    <row r="47" spans="1:12" x14ac:dyDescent="0.25">
      <c r="A47" s="12"/>
      <c r="B47" s="12"/>
      <c r="C47" s="12"/>
      <c r="D47" s="12"/>
      <c r="E47" s="12"/>
      <c r="F47" s="13"/>
      <c r="G47" s="13">
        <f>IF(OR(F47="",I47&lt;&gt;""),"",WORKDAY(F47,Dashboard!$B$22))</f>
      </c>
      <c r="H47" s="12">
        <f>IF(G47="","",IF(I47&lt;&gt;"","Replied",IF(G47&lt;=TODAY(),"DUE","Waiting")))</f>
      </c>
      <c r="I47" s="13"/>
      <c r="J47" s="12"/>
      <c r="K47" s="13"/>
      <c r="L47" s="16"/>
    </row>
    <row r="48" spans="1:12" x14ac:dyDescent="0.25">
      <c r="A48" s="12"/>
      <c r="B48" s="12"/>
      <c r="C48" s="12"/>
      <c r="D48" s="12"/>
      <c r="E48" s="12"/>
      <c r="F48" s="13"/>
      <c r="G48" s="13">
        <f>IF(OR(F48="",I48&lt;&gt;""),"",WORKDAY(F48,Dashboard!$B$22))</f>
      </c>
      <c r="H48" s="12">
        <f>IF(G48="","",IF(I48&lt;&gt;"","Replied",IF(G48&lt;=TODAY(),"DUE","Waiting")))</f>
      </c>
      <c r="I48" s="13"/>
      <c r="J48" s="12"/>
      <c r="K48" s="13"/>
      <c r="L48" s="16"/>
    </row>
    <row r="49" spans="1:12" x14ac:dyDescent="0.25">
      <c r="A49" s="12"/>
      <c r="B49" s="12"/>
      <c r="C49" s="12"/>
      <c r="D49" s="12"/>
      <c r="E49" s="12"/>
      <c r="F49" s="13"/>
      <c r="G49" s="13">
        <f>IF(OR(F49="",I49&lt;&gt;""),"",WORKDAY(F49,Dashboard!$B$22))</f>
      </c>
      <c r="H49" s="12">
        <f>IF(G49="","",IF(I49&lt;&gt;"","Replied",IF(G49&lt;=TODAY(),"DUE","Waiting")))</f>
      </c>
      <c r="I49" s="13"/>
      <c r="J49" s="12"/>
      <c r="K49" s="13"/>
      <c r="L49" s="16"/>
    </row>
    <row r="50" spans="1:12" x14ac:dyDescent="0.25">
      <c r="A50" s="12"/>
      <c r="B50" s="12"/>
      <c r="C50" s="12"/>
      <c r="D50" s="12"/>
      <c r="E50" s="12"/>
      <c r="F50" s="13"/>
      <c r="G50" s="13">
        <f>IF(OR(F50="",I50&lt;&gt;""),"",WORKDAY(F50,Dashboard!$B$22))</f>
      </c>
      <c r="H50" s="12">
        <f>IF(G50="","",IF(I50&lt;&gt;"","Replied",IF(G50&lt;=TODAY(),"DUE","Waiting")))</f>
      </c>
      <c r="I50" s="13"/>
      <c r="J50" s="12"/>
      <c r="K50" s="13"/>
      <c r="L50" s="16"/>
    </row>
    <row r="51" spans="1:12" x14ac:dyDescent="0.25">
      <c r="A51" s="12"/>
      <c r="B51" s="12"/>
      <c r="C51" s="12"/>
      <c r="D51" s="12"/>
      <c r="E51" s="12"/>
      <c r="F51" s="13"/>
      <c r="G51" s="13">
        <f>IF(OR(F51="",I51&lt;&gt;""),"",WORKDAY(F51,Dashboard!$B$22))</f>
      </c>
      <c r="H51" s="12">
        <f>IF(G51="","",IF(I51&lt;&gt;"","Replied",IF(G51&lt;=TODAY(),"DUE","Waiting")))</f>
      </c>
      <c r="I51" s="13"/>
      <c r="J51" s="12"/>
      <c r="K51" s="13"/>
      <c r="L51" s="16"/>
    </row>
    <row r="52" spans="1:12" x14ac:dyDescent="0.25">
      <c r="A52" s="12"/>
      <c r="B52" s="12"/>
      <c r="C52" s="12"/>
      <c r="D52" s="12"/>
      <c r="E52" s="12"/>
      <c r="F52" s="13"/>
      <c r="G52" s="13">
        <f>IF(OR(F52="",I52&lt;&gt;""),"",WORKDAY(F52,Dashboard!$B$22))</f>
      </c>
      <c r="H52" s="12">
        <f>IF(G52="","",IF(I52&lt;&gt;"","Replied",IF(G52&lt;=TODAY(),"DUE","Waiting")))</f>
      </c>
      <c r="I52" s="13"/>
      <c r="J52" s="12"/>
      <c r="K52" s="13"/>
      <c r="L52" s="16"/>
    </row>
    <row r="53" spans="1:12" x14ac:dyDescent="0.25">
      <c r="A53" s="12"/>
      <c r="B53" s="12"/>
      <c r="C53" s="12"/>
      <c r="D53" s="12"/>
      <c r="E53" s="12"/>
      <c r="F53" s="13"/>
      <c r="G53" s="13">
        <f>IF(OR(F53="",I53&lt;&gt;""),"",WORKDAY(F53,Dashboard!$B$22))</f>
      </c>
      <c r="H53" s="12">
        <f>IF(G53="","",IF(I53&lt;&gt;"","Replied",IF(G53&lt;=TODAY(),"DUE","Waiting")))</f>
      </c>
      <c r="I53" s="13"/>
      <c r="J53" s="12"/>
      <c r="K53" s="13"/>
      <c r="L53" s="16"/>
    </row>
    <row r="54" spans="1:12" x14ac:dyDescent="0.25">
      <c r="A54" s="12"/>
      <c r="B54" s="12"/>
      <c r="C54" s="12"/>
      <c r="D54" s="12"/>
      <c r="E54" s="12"/>
      <c r="F54" s="13"/>
      <c r="G54" s="13">
        <f>IF(OR(F54="",I54&lt;&gt;""),"",WORKDAY(F54,Dashboard!$B$22))</f>
      </c>
      <c r="H54" s="12">
        <f>IF(G54="","",IF(I54&lt;&gt;"","Replied",IF(G54&lt;=TODAY(),"DUE","Waiting")))</f>
      </c>
      <c r="I54" s="13"/>
      <c r="J54" s="12"/>
      <c r="K54" s="13"/>
      <c r="L54" s="16"/>
    </row>
    <row r="55" spans="1:12" x14ac:dyDescent="0.25">
      <c r="A55" s="12"/>
      <c r="B55" s="12"/>
      <c r="C55" s="12"/>
      <c r="D55" s="12"/>
      <c r="E55" s="12"/>
      <c r="F55" s="13"/>
      <c r="G55" s="13">
        <f>IF(OR(F55="",I55&lt;&gt;""),"",WORKDAY(F55,Dashboard!$B$22))</f>
      </c>
      <c r="H55" s="12">
        <f>IF(G55="","",IF(I55&lt;&gt;"","Replied",IF(G55&lt;=TODAY(),"DUE","Waiting")))</f>
      </c>
      <c r="I55" s="13"/>
      <c r="J55" s="12"/>
      <c r="K55" s="13"/>
      <c r="L55" s="16"/>
    </row>
    <row r="56" spans="1:12" x14ac:dyDescent="0.25">
      <c r="A56" s="12"/>
      <c r="B56" s="12"/>
      <c r="C56" s="12"/>
      <c r="D56" s="12"/>
      <c r="E56" s="12"/>
      <c r="F56" s="13"/>
      <c r="G56" s="13">
        <f>IF(OR(F56="",I56&lt;&gt;""),"",WORKDAY(F56,Dashboard!$B$22))</f>
      </c>
      <c r="H56" s="12">
        <f>IF(G56="","",IF(I56&lt;&gt;"","Replied",IF(G56&lt;=TODAY(),"DUE","Waiting")))</f>
      </c>
      <c r="I56" s="13"/>
      <c r="J56" s="12"/>
      <c r="K56" s="13"/>
      <c r="L56" s="16"/>
    </row>
    <row r="57" spans="1:12" x14ac:dyDescent="0.25">
      <c r="A57" s="12"/>
      <c r="B57" s="12"/>
      <c r="C57" s="12"/>
      <c r="D57" s="12"/>
      <c r="E57" s="12"/>
      <c r="F57" s="13"/>
      <c r="G57" s="13">
        <f>IF(OR(F57="",I57&lt;&gt;""),"",WORKDAY(F57,Dashboard!$B$22))</f>
      </c>
      <c r="H57" s="12">
        <f>IF(G57="","",IF(I57&lt;&gt;"","Replied",IF(G57&lt;=TODAY(),"DUE","Waiting")))</f>
      </c>
      <c r="I57" s="13"/>
      <c r="J57" s="12"/>
      <c r="K57" s="13"/>
      <c r="L57" s="16"/>
    </row>
    <row r="58" spans="1:12" x14ac:dyDescent="0.25">
      <c r="A58" s="12"/>
      <c r="B58" s="12"/>
      <c r="C58" s="12"/>
      <c r="D58" s="12"/>
      <c r="E58" s="12"/>
      <c r="F58" s="13"/>
      <c r="G58" s="13">
        <f>IF(OR(F58="",I58&lt;&gt;""),"",WORKDAY(F58,Dashboard!$B$22))</f>
      </c>
      <c r="H58" s="12">
        <f>IF(G58="","",IF(I58&lt;&gt;"","Replied",IF(G58&lt;=TODAY(),"DUE","Waiting")))</f>
      </c>
      <c r="I58" s="13"/>
      <c r="J58" s="12"/>
      <c r="K58" s="13"/>
      <c r="L58" s="16"/>
    </row>
    <row r="59" spans="1:12" x14ac:dyDescent="0.25">
      <c r="A59" s="12"/>
      <c r="B59" s="12"/>
      <c r="C59" s="12"/>
      <c r="D59" s="12"/>
      <c r="E59" s="12"/>
      <c r="F59" s="13"/>
      <c r="G59" s="13">
        <f>IF(OR(F59="",I59&lt;&gt;""),"",WORKDAY(F59,Dashboard!$B$22))</f>
      </c>
      <c r="H59" s="12">
        <f>IF(G59="","",IF(I59&lt;&gt;"","Replied",IF(G59&lt;=TODAY(),"DUE","Waiting")))</f>
      </c>
      <c r="I59" s="13"/>
      <c r="J59" s="12"/>
      <c r="K59" s="13"/>
      <c r="L59" s="16"/>
    </row>
    <row r="60" spans="1:12" x14ac:dyDescent="0.25">
      <c r="A60" s="12"/>
      <c r="B60" s="12"/>
      <c r="C60" s="12"/>
      <c r="D60" s="12"/>
      <c r="E60" s="12"/>
      <c r="F60" s="13"/>
      <c r="G60" s="13">
        <f>IF(OR(F60="",I60&lt;&gt;""),"",WORKDAY(F60,Dashboard!$B$22))</f>
      </c>
      <c r="H60" s="12">
        <f>IF(G60="","",IF(I60&lt;&gt;"","Replied",IF(G60&lt;=TODAY(),"DUE","Waiting")))</f>
      </c>
      <c r="I60" s="13"/>
      <c r="J60" s="12"/>
      <c r="K60" s="13"/>
      <c r="L60" s="16"/>
    </row>
    <row r="61" spans="1:12" x14ac:dyDescent="0.25">
      <c r="A61" s="12"/>
      <c r="B61" s="12"/>
      <c r="C61" s="12"/>
      <c r="D61" s="12"/>
      <c r="E61" s="12"/>
      <c r="F61" s="13"/>
      <c r="G61" s="13">
        <f>IF(OR(F61="",I61&lt;&gt;""),"",WORKDAY(F61,Dashboard!$B$22))</f>
      </c>
      <c r="H61" s="12">
        <f>IF(G61="","",IF(I61&lt;&gt;"","Replied",IF(G61&lt;=TODAY(),"DUE","Waiting")))</f>
      </c>
      <c r="I61" s="13"/>
      <c r="J61" s="12"/>
      <c r="K61" s="13"/>
      <c r="L61" s="16"/>
    </row>
    <row r="62" spans="1:12" x14ac:dyDescent="0.25">
      <c r="A62" s="12"/>
      <c r="B62" s="12"/>
      <c r="C62" s="12"/>
      <c r="D62" s="12"/>
      <c r="E62" s="12"/>
      <c r="F62" s="13"/>
      <c r="G62" s="13">
        <f>IF(OR(F62="",I62&lt;&gt;""),"",WORKDAY(F62,Dashboard!$B$22))</f>
      </c>
      <c r="H62" s="12">
        <f>IF(G62="","",IF(I62&lt;&gt;"","Replied",IF(G62&lt;=TODAY(),"DUE","Waiting")))</f>
      </c>
      <c r="I62" s="13"/>
      <c r="J62" s="12"/>
      <c r="K62" s="13"/>
      <c r="L62" s="16"/>
    </row>
    <row r="63" spans="1:12" x14ac:dyDescent="0.25">
      <c r="A63" s="12"/>
      <c r="B63" s="12"/>
      <c r="C63" s="12"/>
      <c r="D63" s="12"/>
      <c r="E63" s="12"/>
      <c r="F63" s="13"/>
      <c r="G63" s="13">
        <f>IF(OR(F63="",I63&lt;&gt;""),"",WORKDAY(F63,Dashboard!$B$22))</f>
      </c>
      <c r="H63" s="12">
        <f>IF(G63="","",IF(I63&lt;&gt;"","Replied",IF(G63&lt;=TODAY(),"DUE","Waiting")))</f>
      </c>
      <c r="I63" s="13"/>
      <c r="J63" s="12"/>
      <c r="K63" s="13"/>
      <c r="L63" s="16"/>
    </row>
    <row r="64" spans="1:12" x14ac:dyDescent="0.25">
      <c r="A64" s="12"/>
      <c r="B64" s="12"/>
      <c r="C64" s="12"/>
      <c r="D64" s="12"/>
      <c r="E64" s="12"/>
      <c r="F64" s="13"/>
      <c r="G64" s="13">
        <f>IF(OR(F64="",I64&lt;&gt;""),"",WORKDAY(F64,Dashboard!$B$22))</f>
      </c>
      <c r="H64" s="12">
        <f>IF(G64="","",IF(I64&lt;&gt;"","Replied",IF(G64&lt;=TODAY(),"DUE","Waiting")))</f>
      </c>
      <c r="I64" s="13"/>
      <c r="J64" s="12"/>
      <c r="K64" s="13"/>
      <c r="L64" s="16"/>
    </row>
    <row r="65" spans="1:12" x14ac:dyDescent="0.25">
      <c r="A65" s="12"/>
      <c r="B65" s="12"/>
      <c r="C65" s="12"/>
      <c r="D65" s="12"/>
      <c r="E65" s="12"/>
      <c r="F65" s="13"/>
      <c r="G65" s="13">
        <f>IF(OR(F65="",I65&lt;&gt;""),"",WORKDAY(F65,Dashboard!$B$22))</f>
      </c>
      <c r="H65" s="12">
        <f>IF(G65="","",IF(I65&lt;&gt;"","Replied",IF(G65&lt;=TODAY(),"DUE","Waiting")))</f>
      </c>
      <c r="I65" s="13"/>
      <c r="J65" s="12"/>
      <c r="K65" s="13"/>
      <c r="L65" s="16"/>
    </row>
    <row r="66" spans="1:12" x14ac:dyDescent="0.25">
      <c r="A66" s="12"/>
      <c r="B66" s="12"/>
      <c r="C66" s="12"/>
      <c r="D66" s="12"/>
      <c r="E66" s="12"/>
      <c r="F66" s="13"/>
      <c r="G66" s="13">
        <f>IF(OR(F66="",I66&lt;&gt;""),"",WORKDAY(F66,Dashboard!$B$22))</f>
      </c>
      <c r="H66" s="12">
        <f>IF(G66="","",IF(I66&lt;&gt;"","Replied",IF(G66&lt;=TODAY(),"DUE","Waiting")))</f>
      </c>
      <c r="I66" s="13"/>
      <c r="J66" s="12"/>
      <c r="K66" s="13"/>
      <c r="L66" s="16"/>
    </row>
    <row r="67" spans="1:12" x14ac:dyDescent="0.25">
      <c r="A67" s="12"/>
      <c r="B67" s="12"/>
      <c r="C67" s="12"/>
      <c r="D67" s="12"/>
      <c r="E67" s="12"/>
      <c r="F67" s="13"/>
      <c r="G67" s="13">
        <f>IF(OR(F67="",I67&lt;&gt;""),"",WORKDAY(F67,Dashboard!$B$22))</f>
      </c>
      <c r="H67" s="12">
        <f>IF(G67="","",IF(I67&lt;&gt;"","Replied",IF(G67&lt;=TODAY(),"DUE","Waiting")))</f>
      </c>
      <c r="I67" s="13"/>
      <c r="J67" s="12"/>
      <c r="K67" s="13"/>
      <c r="L67" s="16"/>
    </row>
    <row r="68" spans="1:12" x14ac:dyDescent="0.25">
      <c r="A68" s="12"/>
      <c r="B68" s="12"/>
      <c r="C68" s="12"/>
      <c r="D68" s="12"/>
      <c r="E68" s="12"/>
      <c r="F68" s="13"/>
      <c r="G68" s="13">
        <f>IF(OR(F68="",I68&lt;&gt;""),"",WORKDAY(F68,Dashboard!$B$22))</f>
      </c>
      <c r="H68" s="12">
        <f>IF(G68="","",IF(I68&lt;&gt;"","Replied",IF(G68&lt;=TODAY(),"DUE","Waiting")))</f>
      </c>
      <c r="I68" s="13"/>
      <c r="J68" s="12"/>
      <c r="K68" s="13"/>
      <c r="L68" s="16"/>
    </row>
    <row r="69" spans="1:12" x14ac:dyDescent="0.25">
      <c r="A69" s="12"/>
      <c r="B69" s="12"/>
      <c r="C69" s="12"/>
      <c r="D69" s="12"/>
      <c r="E69" s="12"/>
      <c r="F69" s="13"/>
      <c r="G69" s="13">
        <f>IF(OR(F69="",I69&lt;&gt;""),"",WORKDAY(F69,Dashboard!$B$22))</f>
      </c>
      <c r="H69" s="12">
        <f>IF(G69="","",IF(I69&lt;&gt;"","Replied",IF(G69&lt;=TODAY(),"DUE","Waiting")))</f>
      </c>
      <c r="I69" s="13"/>
      <c r="J69" s="12"/>
      <c r="K69" s="13"/>
      <c r="L69" s="16"/>
    </row>
    <row r="70" spans="1:12" x14ac:dyDescent="0.25">
      <c r="A70" s="12"/>
      <c r="B70" s="12"/>
      <c r="C70" s="12"/>
      <c r="D70" s="12"/>
      <c r="E70" s="12"/>
      <c r="F70" s="13"/>
      <c r="G70" s="13">
        <f>IF(OR(F70="",I70&lt;&gt;""),"",WORKDAY(F70,Dashboard!$B$22))</f>
      </c>
      <c r="H70" s="12">
        <f>IF(G70="","",IF(I70&lt;&gt;"","Replied",IF(G70&lt;=TODAY(),"DUE","Waiting")))</f>
      </c>
      <c r="I70" s="13"/>
      <c r="J70" s="12"/>
      <c r="K70" s="13"/>
      <c r="L70" s="16"/>
    </row>
    <row r="71" spans="1:12" x14ac:dyDescent="0.25">
      <c r="A71" s="12"/>
      <c r="B71" s="12"/>
      <c r="C71" s="12"/>
      <c r="D71" s="12"/>
      <c r="E71" s="12"/>
      <c r="F71" s="13"/>
      <c r="G71" s="13">
        <f>IF(OR(F71="",I71&lt;&gt;""),"",WORKDAY(F71,Dashboard!$B$22))</f>
      </c>
      <c r="H71" s="12">
        <f>IF(G71="","",IF(I71&lt;&gt;"","Replied",IF(G71&lt;=TODAY(),"DUE","Waiting")))</f>
      </c>
      <c r="I71" s="13"/>
      <c r="J71" s="12"/>
      <c r="K71" s="13"/>
      <c r="L71" s="16"/>
    </row>
    <row r="72" spans="1:12" x14ac:dyDescent="0.25">
      <c r="A72" s="12"/>
      <c r="B72" s="12"/>
      <c r="C72" s="12"/>
      <c r="D72" s="12"/>
      <c r="E72" s="12"/>
      <c r="F72" s="13"/>
      <c r="G72" s="13">
        <f>IF(OR(F72="",I72&lt;&gt;""),"",WORKDAY(F72,Dashboard!$B$22))</f>
      </c>
      <c r="H72" s="12">
        <f>IF(G72="","",IF(I72&lt;&gt;"","Replied",IF(G72&lt;=TODAY(),"DUE","Waiting")))</f>
      </c>
      <c r="I72" s="13"/>
      <c r="J72" s="12"/>
      <c r="K72" s="13"/>
      <c r="L72" s="16"/>
    </row>
    <row r="73" spans="1:12" x14ac:dyDescent="0.25">
      <c r="A73" s="12"/>
      <c r="B73" s="12"/>
      <c r="C73" s="12"/>
      <c r="D73" s="12"/>
      <c r="E73" s="12"/>
      <c r="F73" s="13"/>
      <c r="G73" s="13">
        <f>IF(OR(F73="",I73&lt;&gt;""),"",WORKDAY(F73,Dashboard!$B$22))</f>
      </c>
      <c r="H73" s="12">
        <f>IF(G73="","",IF(I73&lt;&gt;"","Replied",IF(G73&lt;=TODAY(),"DUE","Waiting")))</f>
      </c>
      <c r="I73" s="13"/>
      <c r="J73" s="12"/>
      <c r="K73" s="13"/>
      <c r="L73" s="16"/>
    </row>
    <row r="74" spans="1:12" x14ac:dyDescent="0.25">
      <c r="A74" s="12"/>
      <c r="B74" s="12"/>
      <c r="C74" s="12"/>
      <c r="D74" s="12"/>
      <c r="E74" s="12"/>
      <c r="F74" s="13"/>
      <c r="G74" s="13">
        <f>IF(OR(F74="",I74&lt;&gt;""),"",WORKDAY(F74,Dashboard!$B$22))</f>
      </c>
      <c r="H74" s="12">
        <f>IF(G74="","",IF(I74&lt;&gt;"","Replied",IF(G74&lt;=TODAY(),"DUE","Waiting")))</f>
      </c>
      <c r="I74" s="13"/>
      <c r="J74" s="12"/>
      <c r="K74" s="13"/>
      <c r="L74" s="16"/>
    </row>
    <row r="75" spans="1:12" x14ac:dyDescent="0.25">
      <c r="A75" s="12"/>
      <c r="B75" s="12"/>
      <c r="C75" s="12"/>
      <c r="D75" s="12"/>
      <c r="E75" s="12"/>
      <c r="F75" s="13"/>
      <c r="G75" s="13">
        <f>IF(OR(F75="",I75&lt;&gt;""),"",WORKDAY(F75,Dashboard!$B$22))</f>
      </c>
      <c r="H75" s="12">
        <f>IF(G75="","",IF(I75&lt;&gt;"","Replied",IF(G75&lt;=TODAY(),"DUE","Waiting")))</f>
      </c>
      <c r="I75" s="13"/>
      <c r="J75" s="12"/>
      <c r="K75" s="13"/>
      <c r="L75" s="16"/>
    </row>
    <row r="76" spans="1:12" x14ac:dyDescent="0.25">
      <c r="A76" s="12"/>
      <c r="B76" s="12"/>
      <c r="C76" s="12"/>
      <c r="D76" s="12"/>
      <c r="E76" s="12"/>
      <c r="F76" s="13"/>
      <c r="G76" s="13">
        <f>IF(OR(F76="",I76&lt;&gt;""),"",WORKDAY(F76,Dashboard!$B$22))</f>
      </c>
      <c r="H76" s="12">
        <f>IF(G76="","",IF(I76&lt;&gt;"","Replied",IF(G76&lt;=TODAY(),"DUE","Waiting")))</f>
      </c>
      <c r="I76" s="13"/>
      <c r="J76" s="12"/>
      <c r="K76" s="13"/>
      <c r="L76" s="16"/>
    </row>
    <row r="77" spans="1:12" x14ac:dyDescent="0.25">
      <c r="A77" s="12"/>
      <c r="B77" s="12"/>
      <c r="C77" s="12"/>
      <c r="D77" s="12"/>
      <c r="E77" s="12"/>
      <c r="F77" s="13"/>
      <c r="G77" s="13">
        <f>IF(OR(F77="",I77&lt;&gt;""),"",WORKDAY(F77,Dashboard!$B$22))</f>
      </c>
      <c r="H77" s="12">
        <f>IF(G77="","",IF(I77&lt;&gt;"","Replied",IF(G77&lt;=TODAY(),"DUE","Waiting")))</f>
      </c>
      <c r="I77" s="13"/>
      <c r="J77" s="12"/>
      <c r="K77" s="13"/>
      <c r="L77" s="16"/>
    </row>
    <row r="78" spans="1:12" x14ac:dyDescent="0.25">
      <c r="A78" s="12"/>
      <c r="B78" s="12"/>
      <c r="C78" s="12"/>
      <c r="D78" s="12"/>
      <c r="E78" s="12"/>
      <c r="F78" s="13"/>
      <c r="G78" s="13">
        <f>IF(OR(F78="",I78&lt;&gt;""),"",WORKDAY(F78,Dashboard!$B$22))</f>
      </c>
      <c r="H78" s="12">
        <f>IF(G78="","",IF(I78&lt;&gt;"","Replied",IF(G78&lt;=TODAY(),"DUE","Waiting")))</f>
      </c>
      <c r="I78" s="13"/>
      <c r="J78" s="12"/>
      <c r="K78" s="13"/>
      <c r="L78" s="16"/>
    </row>
    <row r="79" spans="1:12" x14ac:dyDescent="0.25">
      <c r="A79" s="12"/>
      <c r="B79" s="12"/>
      <c r="C79" s="12"/>
      <c r="D79" s="12"/>
      <c r="E79" s="12"/>
      <c r="F79" s="13"/>
      <c r="G79" s="13">
        <f>IF(OR(F79="",I79&lt;&gt;""),"",WORKDAY(F79,Dashboard!$B$22))</f>
      </c>
      <c r="H79" s="12">
        <f>IF(G79="","",IF(I79&lt;&gt;"","Replied",IF(G79&lt;=TODAY(),"DUE","Waiting")))</f>
      </c>
      <c r="I79" s="13"/>
      <c r="J79" s="12"/>
      <c r="K79" s="13"/>
      <c r="L79" s="16"/>
    </row>
    <row r="80" spans="1:12" x14ac:dyDescent="0.25">
      <c r="A80" s="12"/>
      <c r="B80" s="12"/>
      <c r="C80" s="12"/>
      <c r="D80" s="12"/>
      <c r="E80" s="12"/>
      <c r="F80" s="13"/>
      <c r="G80" s="13">
        <f>IF(OR(F80="",I80&lt;&gt;""),"",WORKDAY(F80,Dashboard!$B$22))</f>
      </c>
      <c r="H80" s="12">
        <f>IF(G80="","",IF(I80&lt;&gt;"","Replied",IF(G80&lt;=TODAY(),"DUE","Waiting")))</f>
      </c>
      <c r="I80" s="13"/>
      <c r="J80" s="12"/>
      <c r="K80" s="13"/>
      <c r="L80" s="16"/>
    </row>
    <row r="81" spans="1:12" x14ac:dyDescent="0.25">
      <c r="A81" s="12"/>
      <c r="B81" s="12"/>
      <c r="C81" s="12"/>
      <c r="D81" s="12"/>
      <c r="E81" s="12"/>
      <c r="F81" s="13"/>
      <c r="G81" s="13">
        <f>IF(OR(F81="",I81&lt;&gt;""),"",WORKDAY(F81,Dashboard!$B$22))</f>
      </c>
      <c r="H81" s="12">
        <f>IF(G81="","",IF(I81&lt;&gt;"","Replied",IF(G81&lt;=TODAY(),"DUE","Waiting")))</f>
      </c>
      <c r="I81" s="13"/>
      <c r="J81" s="12"/>
      <c r="K81" s="13"/>
      <c r="L81" s="16"/>
    </row>
    <row r="82" spans="1:12" x14ac:dyDescent="0.25">
      <c r="A82" s="12"/>
      <c r="B82" s="12"/>
      <c r="C82" s="12"/>
      <c r="D82" s="12"/>
      <c r="E82" s="12"/>
      <c r="F82" s="13"/>
      <c r="G82" s="13">
        <f>IF(OR(F82="",I82&lt;&gt;""),"",WORKDAY(F82,Dashboard!$B$22))</f>
      </c>
      <c r="H82" s="12">
        <f>IF(G82="","",IF(I82&lt;&gt;"","Replied",IF(G82&lt;=TODAY(),"DUE","Waiting")))</f>
      </c>
      <c r="I82" s="13"/>
      <c r="J82" s="12"/>
      <c r="K82" s="13"/>
      <c r="L82" s="16"/>
    </row>
    <row r="83" spans="1:12" x14ac:dyDescent="0.25">
      <c r="A83" s="12"/>
      <c r="B83" s="12"/>
      <c r="C83" s="12"/>
      <c r="D83" s="12"/>
      <c r="E83" s="12"/>
      <c r="F83" s="13"/>
      <c r="G83" s="13">
        <f>IF(OR(F83="",I83&lt;&gt;""),"",WORKDAY(F83,Dashboard!$B$22))</f>
      </c>
      <c r="H83" s="12">
        <f>IF(G83="","",IF(I83&lt;&gt;"","Replied",IF(G83&lt;=TODAY(),"DUE","Waiting")))</f>
      </c>
      <c r="I83" s="13"/>
      <c r="J83" s="12"/>
      <c r="K83" s="13"/>
      <c r="L83" s="16"/>
    </row>
    <row r="84" spans="1:12" x14ac:dyDescent="0.25">
      <c r="A84" s="12"/>
      <c r="B84" s="12"/>
      <c r="C84" s="12"/>
      <c r="D84" s="12"/>
      <c r="E84" s="12"/>
      <c r="F84" s="13"/>
      <c r="G84" s="13">
        <f>IF(OR(F84="",I84&lt;&gt;""),"",WORKDAY(F84,Dashboard!$B$22))</f>
      </c>
      <c r="H84" s="12">
        <f>IF(G84="","",IF(I84&lt;&gt;"","Replied",IF(G84&lt;=TODAY(),"DUE","Waiting")))</f>
      </c>
      <c r="I84" s="13"/>
      <c r="J84" s="12"/>
      <c r="K84" s="13"/>
      <c r="L84" s="16"/>
    </row>
    <row r="85" spans="1:12" x14ac:dyDescent="0.25">
      <c r="A85" s="12"/>
      <c r="B85" s="12"/>
      <c r="C85" s="12"/>
      <c r="D85" s="12"/>
      <c r="E85" s="12"/>
      <c r="F85" s="13"/>
      <c r="G85" s="13">
        <f>IF(OR(F85="",I85&lt;&gt;""),"",WORKDAY(F85,Dashboard!$B$22))</f>
      </c>
      <c r="H85" s="12">
        <f>IF(G85="","",IF(I85&lt;&gt;"","Replied",IF(G85&lt;=TODAY(),"DUE","Waiting")))</f>
      </c>
      <c r="I85" s="13"/>
      <c r="J85" s="12"/>
      <c r="K85" s="13"/>
      <c r="L85" s="16"/>
    </row>
    <row r="86" spans="1:12" x14ac:dyDescent="0.25">
      <c r="A86" s="12"/>
      <c r="B86" s="12"/>
      <c r="C86" s="12"/>
      <c r="D86" s="12"/>
      <c r="E86" s="12"/>
      <c r="F86" s="13"/>
      <c r="G86" s="13">
        <f>IF(OR(F86="",I86&lt;&gt;""),"",WORKDAY(F86,Dashboard!$B$22))</f>
      </c>
      <c r="H86" s="12">
        <f>IF(G86="","",IF(I86&lt;&gt;"","Replied",IF(G86&lt;=TODAY(),"DUE","Waiting")))</f>
      </c>
      <c r="I86" s="13"/>
      <c r="J86" s="12"/>
      <c r="K86" s="13"/>
      <c r="L86" s="16"/>
    </row>
    <row r="87" spans="1:12" x14ac:dyDescent="0.25">
      <c r="A87" s="12"/>
      <c r="B87" s="12"/>
      <c r="C87" s="12"/>
      <c r="D87" s="12"/>
      <c r="E87" s="12"/>
      <c r="F87" s="13"/>
      <c r="G87" s="13">
        <f>IF(OR(F87="",I87&lt;&gt;""),"",WORKDAY(F87,Dashboard!$B$22))</f>
      </c>
      <c r="H87" s="12">
        <f>IF(G87="","",IF(I87&lt;&gt;"","Replied",IF(G87&lt;=TODAY(),"DUE","Waiting")))</f>
      </c>
      <c r="I87" s="13"/>
      <c r="J87" s="12"/>
      <c r="K87" s="13"/>
      <c r="L87" s="16"/>
    </row>
    <row r="88" spans="1:12" x14ac:dyDescent="0.25">
      <c r="A88" s="12"/>
      <c r="B88" s="12"/>
      <c r="C88" s="12"/>
      <c r="D88" s="12"/>
      <c r="E88" s="12"/>
      <c r="F88" s="13"/>
      <c r="G88" s="13">
        <f>IF(OR(F88="",I88&lt;&gt;""),"",WORKDAY(F88,Dashboard!$B$22))</f>
      </c>
      <c r="H88" s="12">
        <f>IF(G88="","",IF(I88&lt;&gt;"","Replied",IF(G88&lt;=TODAY(),"DUE","Waiting")))</f>
      </c>
      <c r="I88" s="13"/>
      <c r="J88" s="12"/>
      <c r="K88" s="13"/>
      <c r="L88" s="16"/>
    </row>
    <row r="89" spans="1:12" x14ac:dyDescent="0.25">
      <c r="A89" s="12"/>
      <c r="B89" s="12"/>
      <c r="C89" s="12"/>
      <c r="D89" s="12"/>
      <c r="E89" s="12"/>
      <c r="F89" s="13"/>
      <c r="G89" s="13">
        <f>IF(OR(F89="",I89&lt;&gt;""),"",WORKDAY(F89,Dashboard!$B$22))</f>
      </c>
      <c r="H89" s="12">
        <f>IF(G89="","",IF(I89&lt;&gt;"","Replied",IF(G89&lt;=TODAY(),"DUE","Waiting")))</f>
      </c>
      <c r="I89" s="13"/>
      <c r="J89" s="12"/>
      <c r="K89" s="13"/>
      <c r="L89" s="16"/>
    </row>
    <row r="90" spans="1:12" x14ac:dyDescent="0.25">
      <c r="A90" s="12"/>
      <c r="B90" s="12"/>
      <c r="C90" s="12"/>
      <c r="D90" s="12"/>
      <c r="E90" s="12"/>
      <c r="F90" s="13"/>
      <c r="G90" s="13">
        <f>IF(OR(F90="",I90&lt;&gt;""),"",WORKDAY(F90,Dashboard!$B$22))</f>
      </c>
      <c r="H90" s="12">
        <f>IF(G90="","",IF(I90&lt;&gt;"","Replied",IF(G90&lt;=TODAY(),"DUE","Waiting")))</f>
      </c>
      <c r="I90" s="13"/>
      <c r="J90" s="12"/>
      <c r="K90" s="13"/>
      <c r="L90" s="16"/>
    </row>
    <row r="91" spans="1:12" x14ac:dyDescent="0.25">
      <c r="A91" s="12"/>
      <c r="B91" s="12"/>
      <c r="C91" s="12"/>
      <c r="D91" s="12"/>
      <c r="E91" s="12"/>
      <c r="F91" s="13"/>
      <c r="G91" s="13">
        <f>IF(OR(F91="",I91&lt;&gt;""),"",WORKDAY(F91,Dashboard!$B$22))</f>
      </c>
      <c r="H91" s="12">
        <f>IF(G91="","",IF(I91&lt;&gt;"","Replied",IF(G91&lt;=TODAY(),"DUE","Waiting")))</f>
      </c>
      <c r="I91" s="13"/>
      <c r="J91" s="12"/>
      <c r="K91" s="13"/>
      <c r="L91" s="16"/>
    </row>
    <row r="92" spans="1:12" x14ac:dyDescent="0.25">
      <c r="A92" s="12"/>
      <c r="B92" s="12"/>
      <c r="C92" s="12"/>
      <c r="D92" s="12"/>
      <c r="E92" s="12"/>
      <c r="F92" s="13"/>
      <c r="G92" s="13">
        <f>IF(OR(F92="",I92&lt;&gt;""),"",WORKDAY(F92,Dashboard!$B$22))</f>
      </c>
      <c r="H92" s="12">
        <f>IF(G92="","",IF(I92&lt;&gt;"","Replied",IF(G92&lt;=TODAY(),"DUE","Waiting")))</f>
      </c>
      <c r="I92" s="13"/>
      <c r="J92" s="12"/>
      <c r="K92" s="13"/>
      <c r="L92" s="16"/>
    </row>
    <row r="93" spans="1:12" x14ac:dyDescent="0.25">
      <c r="A93" s="12"/>
      <c r="B93" s="12"/>
      <c r="C93" s="12"/>
      <c r="D93" s="12"/>
      <c r="E93" s="12"/>
      <c r="F93" s="13"/>
      <c r="G93" s="13">
        <f>IF(OR(F93="",I93&lt;&gt;""),"",WORKDAY(F93,Dashboard!$B$22))</f>
      </c>
      <c r="H93" s="12">
        <f>IF(G93="","",IF(I93&lt;&gt;"","Replied",IF(G93&lt;=TODAY(),"DUE","Waiting")))</f>
      </c>
      <c r="I93" s="13"/>
      <c r="J93" s="12"/>
      <c r="K93" s="13"/>
      <c r="L93" s="16"/>
    </row>
    <row r="94" spans="1:12" x14ac:dyDescent="0.25">
      <c r="A94" s="12"/>
      <c r="B94" s="12"/>
      <c r="C94" s="12"/>
      <c r="D94" s="12"/>
      <c r="E94" s="12"/>
      <c r="F94" s="13"/>
      <c r="G94" s="13">
        <f>IF(OR(F94="",I94&lt;&gt;""),"",WORKDAY(F94,Dashboard!$B$22))</f>
      </c>
      <c r="H94" s="12">
        <f>IF(G94="","",IF(I94&lt;&gt;"","Replied",IF(G94&lt;=TODAY(),"DUE","Waiting")))</f>
      </c>
      <c r="I94" s="13"/>
      <c r="J94" s="12"/>
      <c r="K94" s="13"/>
      <c r="L94" s="16"/>
    </row>
    <row r="95" spans="1:12" x14ac:dyDescent="0.25">
      <c r="A95" s="12"/>
      <c r="B95" s="12"/>
      <c r="C95" s="12"/>
      <c r="D95" s="12"/>
      <c r="E95" s="12"/>
      <c r="F95" s="13"/>
      <c r="G95" s="13">
        <f>IF(OR(F95="",I95&lt;&gt;""),"",WORKDAY(F95,Dashboard!$B$22))</f>
      </c>
      <c r="H95" s="12">
        <f>IF(G95="","",IF(I95&lt;&gt;"","Replied",IF(G95&lt;=TODAY(),"DUE","Waiting")))</f>
      </c>
      <c r="I95" s="13"/>
      <c r="J95" s="12"/>
      <c r="K95" s="13"/>
      <c r="L95" s="16"/>
    </row>
    <row r="96" spans="1:12" x14ac:dyDescent="0.25">
      <c r="A96" s="12"/>
      <c r="B96" s="12"/>
      <c r="C96" s="12"/>
      <c r="D96" s="12"/>
      <c r="E96" s="12"/>
      <c r="F96" s="13"/>
      <c r="G96" s="13">
        <f>IF(OR(F96="",I96&lt;&gt;""),"",WORKDAY(F96,Dashboard!$B$22))</f>
      </c>
      <c r="H96" s="12">
        <f>IF(G96="","",IF(I96&lt;&gt;"","Replied",IF(G96&lt;=TODAY(),"DUE","Waiting")))</f>
      </c>
      <c r="I96" s="13"/>
      <c r="J96" s="12"/>
      <c r="K96" s="13"/>
      <c r="L96" s="16"/>
    </row>
    <row r="97" spans="1:12" x14ac:dyDescent="0.25">
      <c r="A97" s="12"/>
      <c r="B97" s="12"/>
      <c r="C97" s="12"/>
      <c r="D97" s="12"/>
      <c r="E97" s="12"/>
      <c r="F97" s="13"/>
      <c r="G97" s="13">
        <f>IF(OR(F97="",I97&lt;&gt;""),"",WORKDAY(F97,Dashboard!$B$22))</f>
      </c>
      <c r="H97" s="12">
        <f>IF(G97="","",IF(I97&lt;&gt;"","Replied",IF(G97&lt;=TODAY(),"DUE","Waiting")))</f>
      </c>
      <c r="I97" s="13"/>
      <c r="J97" s="12"/>
      <c r="K97" s="13"/>
      <c r="L97" s="16"/>
    </row>
    <row r="98" spans="1:12" x14ac:dyDescent="0.25">
      <c r="A98" s="12"/>
      <c r="B98" s="12"/>
      <c r="C98" s="12"/>
      <c r="D98" s="12"/>
      <c r="E98" s="12"/>
      <c r="F98" s="13"/>
      <c r="G98" s="13">
        <f>IF(OR(F98="",I98&lt;&gt;""),"",WORKDAY(F98,Dashboard!$B$22))</f>
      </c>
      <c r="H98" s="12">
        <f>IF(G98="","",IF(I98&lt;&gt;"","Replied",IF(G98&lt;=TODAY(),"DUE","Waiting")))</f>
      </c>
      <c r="I98" s="13"/>
      <c r="J98" s="12"/>
      <c r="K98" s="13"/>
      <c r="L98" s="16"/>
    </row>
    <row r="99" spans="1:12" x14ac:dyDescent="0.25">
      <c r="A99" s="12"/>
      <c r="B99" s="12"/>
      <c r="C99" s="12"/>
      <c r="D99" s="12"/>
      <c r="E99" s="12"/>
      <c r="F99" s="13"/>
      <c r="G99" s="13">
        <f>IF(OR(F99="",I99&lt;&gt;""),"",WORKDAY(F99,Dashboard!$B$22))</f>
      </c>
      <c r="H99" s="12">
        <f>IF(G99="","",IF(I99&lt;&gt;"","Replied",IF(G99&lt;=TODAY(),"DUE","Waiting")))</f>
      </c>
      <c r="I99" s="13"/>
      <c r="J99" s="12"/>
      <c r="K99" s="13"/>
      <c r="L99" s="16"/>
    </row>
    <row r="100" spans="1:12" x14ac:dyDescent="0.25">
      <c r="A100" s="12"/>
      <c r="B100" s="12"/>
      <c r="C100" s="12"/>
      <c r="D100" s="12"/>
      <c r="E100" s="12"/>
      <c r="F100" s="13"/>
      <c r="G100" s="13">
        <f>IF(OR(F100="",I100&lt;&gt;""),"",WORKDAY(F100,Dashboard!$B$22))</f>
      </c>
      <c r="H100" s="12">
        <f>IF(G100="","",IF(I100&lt;&gt;"","Replied",IF(G100&lt;=TODAY(),"DUE","Waiting")))</f>
      </c>
      <c r="I100" s="13"/>
      <c r="J100" s="12"/>
      <c r="K100" s="13"/>
      <c r="L100" s="16"/>
    </row>
    <row r="101" spans="1:12" x14ac:dyDescent="0.25">
      <c r="A101" s="12"/>
      <c r="B101" s="12"/>
      <c r="C101" s="12"/>
      <c r="D101" s="12"/>
      <c r="E101" s="12"/>
      <c r="F101" s="13"/>
      <c r="G101" s="13">
        <f>IF(OR(F101="",I101&lt;&gt;""),"",WORKDAY(F101,Dashboard!$B$22))</f>
      </c>
      <c r="H101" s="12">
        <f>IF(G101="","",IF(I101&lt;&gt;"","Replied",IF(G101&lt;=TODAY(),"DUE","Waiting")))</f>
      </c>
      <c r="I101" s="13"/>
      <c r="J101" s="12"/>
      <c r="K101" s="13"/>
      <c r="L101" s="16"/>
    </row>
    <row r="102" spans="1:12" x14ac:dyDescent="0.25">
      <c r="A102" s="12"/>
      <c r="B102" s="12"/>
      <c r="C102" s="12"/>
      <c r="D102" s="12"/>
      <c r="E102" s="12"/>
      <c r="F102" s="13"/>
      <c r="G102" s="13">
        <f>IF(OR(F102="",I102&lt;&gt;""),"",WORKDAY(F102,Dashboard!$B$22))</f>
      </c>
      <c r="H102" s="12">
        <f>IF(G102="","",IF(I102&lt;&gt;"","Replied",IF(G102&lt;=TODAY(),"DUE","Waiting")))</f>
      </c>
      <c r="I102" s="13"/>
      <c r="J102" s="12"/>
      <c r="K102" s="13"/>
      <c r="L102" s="16"/>
    </row>
    <row r="103" spans="1:12" x14ac:dyDescent="0.25">
      <c r="A103" s="12"/>
      <c r="B103" s="12"/>
      <c r="C103" s="12"/>
      <c r="D103" s="12"/>
      <c r="E103" s="12"/>
      <c r="F103" s="13"/>
      <c r="G103" s="13">
        <f>IF(OR(F103="",I103&lt;&gt;""),"",WORKDAY(F103,Dashboard!$B$22))</f>
      </c>
      <c r="H103" s="12">
        <f>IF(G103="","",IF(I103&lt;&gt;"","Replied",IF(G103&lt;=TODAY(),"DUE","Waiting")))</f>
      </c>
      <c r="I103" s="13"/>
      <c r="J103" s="12"/>
      <c r="K103" s="13"/>
      <c r="L103" s="16"/>
    </row>
    <row r="104" spans="1:12" x14ac:dyDescent="0.25">
      <c r="A104" s="12"/>
      <c r="B104" s="12"/>
      <c r="C104" s="12"/>
      <c r="D104" s="12"/>
      <c r="E104" s="12"/>
      <c r="F104" s="13"/>
      <c r="G104" s="13">
        <f>IF(OR(F104="",I104&lt;&gt;""),"",WORKDAY(F104,Dashboard!$B$22))</f>
      </c>
      <c r="H104" s="12">
        <f>IF(G104="","",IF(I104&lt;&gt;"","Replied",IF(G104&lt;=TODAY(),"DUE","Waiting")))</f>
      </c>
      <c r="I104" s="13"/>
      <c r="J104" s="12"/>
      <c r="K104" s="13"/>
      <c r="L104" s="16"/>
    </row>
    <row r="105" spans="1:12" x14ac:dyDescent="0.25">
      <c r="A105" s="12"/>
      <c r="B105" s="12"/>
      <c r="C105" s="12"/>
      <c r="D105" s="12"/>
      <c r="E105" s="12"/>
      <c r="F105" s="13"/>
      <c r="G105" s="13">
        <f>IF(OR(F105="",I105&lt;&gt;""),"",WORKDAY(F105,Dashboard!$B$22))</f>
      </c>
      <c r="H105" s="12">
        <f>IF(G105="","",IF(I105&lt;&gt;"","Replied",IF(G105&lt;=TODAY(),"DUE","Waiting")))</f>
      </c>
      <c r="I105" s="13"/>
      <c r="J105" s="12"/>
      <c r="K105" s="13"/>
      <c r="L105" s="16"/>
    </row>
    <row r="106" spans="1:12" x14ac:dyDescent="0.25">
      <c r="A106" s="12"/>
      <c r="B106" s="12"/>
      <c r="C106" s="12"/>
      <c r="D106" s="12"/>
      <c r="E106" s="12"/>
      <c r="F106" s="13"/>
      <c r="G106" s="13">
        <f>IF(OR(F106="",I106&lt;&gt;""),"",WORKDAY(F106,Dashboard!$B$22))</f>
      </c>
      <c r="H106" s="12">
        <f>IF(G106="","",IF(I106&lt;&gt;"","Replied",IF(G106&lt;=TODAY(),"DUE","Waiting")))</f>
      </c>
      <c r="I106" s="13"/>
      <c r="J106" s="12"/>
      <c r="K106" s="13"/>
      <c r="L106" s="16"/>
    </row>
    <row r="107" spans="1:12" x14ac:dyDescent="0.25">
      <c r="A107" s="12"/>
      <c r="B107" s="12"/>
      <c r="C107" s="12"/>
      <c r="D107" s="12"/>
      <c r="E107" s="12"/>
      <c r="F107" s="13"/>
      <c r="G107" s="13">
        <f>IF(OR(F107="",I107&lt;&gt;""),"",WORKDAY(F107,Dashboard!$B$22))</f>
      </c>
      <c r="H107" s="12">
        <f>IF(G107="","",IF(I107&lt;&gt;"","Replied",IF(G107&lt;=TODAY(),"DUE","Waiting")))</f>
      </c>
      <c r="I107" s="13"/>
      <c r="J107" s="12"/>
      <c r="K107" s="13"/>
      <c r="L107" s="16"/>
    </row>
    <row r="108" spans="1:12" x14ac:dyDescent="0.25">
      <c r="A108" s="12"/>
      <c r="B108" s="12"/>
      <c r="C108" s="12"/>
      <c r="D108" s="12"/>
      <c r="E108" s="12"/>
      <c r="F108" s="13"/>
      <c r="G108" s="13">
        <f>IF(OR(F108="",I108&lt;&gt;""),"",WORKDAY(F108,Dashboard!$B$22))</f>
      </c>
      <c r="H108" s="12">
        <f>IF(G108="","",IF(I108&lt;&gt;"","Replied",IF(G108&lt;=TODAY(),"DUE","Waiting")))</f>
      </c>
      <c r="I108" s="13"/>
      <c r="J108" s="12"/>
      <c r="K108" s="13"/>
      <c r="L108" s="16"/>
    </row>
    <row r="109" spans="1:12" x14ac:dyDescent="0.25">
      <c r="A109" s="12"/>
      <c r="B109" s="12"/>
      <c r="C109" s="12"/>
      <c r="D109" s="12"/>
      <c r="E109" s="12"/>
      <c r="F109" s="13"/>
      <c r="G109" s="13">
        <f>IF(OR(F109="",I109&lt;&gt;""),"",WORKDAY(F109,Dashboard!$B$22))</f>
      </c>
      <c r="H109" s="12">
        <f>IF(G109="","",IF(I109&lt;&gt;"","Replied",IF(G109&lt;=TODAY(),"DUE","Waiting")))</f>
      </c>
      <c r="I109" s="13"/>
      <c r="J109" s="12"/>
      <c r="K109" s="13"/>
      <c r="L109" s="16"/>
    </row>
    <row r="110" spans="1:12" x14ac:dyDescent="0.25">
      <c r="A110" s="12"/>
      <c r="B110" s="12"/>
      <c r="C110" s="12"/>
      <c r="D110" s="12"/>
      <c r="E110" s="12"/>
      <c r="F110" s="13"/>
      <c r="G110" s="13">
        <f>IF(OR(F110="",I110&lt;&gt;""),"",WORKDAY(F110,Dashboard!$B$22))</f>
      </c>
      <c r="H110" s="12">
        <f>IF(G110="","",IF(I110&lt;&gt;"","Replied",IF(G110&lt;=TODAY(),"DUE","Waiting")))</f>
      </c>
      <c r="I110" s="13"/>
      <c r="J110" s="12"/>
      <c r="K110" s="13"/>
      <c r="L110" s="16"/>
    </row>
    <row r="111" spans="1:12" x14ac:dyDescent="0.25">
      <c r="A111" s="12"/>
      <c r="B111" s="12"/>
      <c r="C111" s="12"/>
      <c r="D111" s="12"/>
      <c r="E111" s="12"/>
      <c r="F111" s="13"/>
      <c r="G111" s="13">
        <f>IF(OR(F111="",I111&lt;&gt;""),"",WORKDAY(F111,Dashboard!$B$22))</f>
      </c>
      <c r="H111" s="12">
        <f>IF(G111="","",IF(I111&lt;&gt;"","Replied",IF(G111&lt;=TODAY(),"DUE","Waiting")))</f>
      </c>
      <c r="I111" s="13"/>
      <c r="J111" s="12"/>
      <c r="K111" s="13"/>
      <c r="L111" s="16"/>
    </row>
    <row r="112" spans="1:12" x14ac:dyDescent="0.25">
      <c r="A112" s="12"/>
      <c r="B112" s="12"/>
      <c r="C112" s="12"/>
      <c r="D112" s="12"/>
      <c r="E112" s="12"/>
      <c r="F112" s="13"/>
      <c r="G112" s="13">
        <f>IF(OR(F112="",I112&lt;&gt;""),"",WORKDAY(F112,Dashboard!$B$22))</f>
      </c>
      <c r="H112" s="12">
        <f>IF(G112="","",IF(I112&lt;&gt;"","Replied",IF(G112&lt;=TODAY(),"DUE","Waiting")))</f>
      </c>
      <c r="I112" s="13"/>
      <c r="J112" s="12"/>
      <c r="K112" s="13"/>
      <c r="L112" s="16"/>
    </row>
    <row r="113" spans="1:12" x14ac:dyDescent="0.25">
      <c r="A113" s="12"/>
      <c r="B113" s="12"/>
      <c r="C113" s="12"/>
      <c r="D113" s="12"/>
      <c r="E113" s="12"/>
      <c r="F113" s="13"/>
      <c r="G113" s="13">
        <f>IF(OR(F113="",I113&lt;&gt;""),"",WORKDAY(F113,Dashboard!$B$22))</f>
      </c>
      <c r="H113" s="12">
        <f>IF(G113="","",IF(I113&lt;&gt;"","Replied",IF(G113&lt;=TODAY(),"DUE","Waiting")))</f>
      </c>
      <c r="I113" s="13"/>
      <c r="J113" s="12"/>
      <c r="K113" s="13"/>
      <c r="L113" s="16"/>
    </row>
    <row r="114" spans="1:12" x14ac:dyDescent="0.25">
      <c r="A114" s="12"/>
      <c r="B114" s="12"/>
      <c r="C114" s="12"/>
      <c r="D114" s="12"/>
      <c r="E114" s="12"/>
      <c r="F114" s="13"/>
      <c r="G114" s="13">
        <f>IF(OR(F114="",I114&lt;&gt;""),"",WORKDAY(F114,Dashboard!$B$22))</f>
      </c>
      <c r="H114" s="12">
        <f>IF(G114="","",IF(I114&lt;&gt;"","Replied",IF(G114&lt;=TODAY(),"DUE","Waiting")))</f>
      </c>
      <c r="I114" s="13"/>
      <c r="J114" s="12"/>
      <c r="K114" s="13"/>
      <c r="L114" s="16"/>
    </row>
    <row r="115" spans="1:12" x14ac:dyDescent="0.25">
      <c r="A115" s="12"/>
      <c r="B115" s="12"/>
      <c r="C115" s="12"/>
      <c r="D115" s="12"/>
      <c r="E115" s="12"/>
      <c r="F115" s="13"/>
      <c r="G115" s="13">
        <f>IF(OR(F115="",I115&lt;&gt;""),"",WORKDAY(F115,Dashboard!$B$22))</f>
      </c>
      <c r="H115" s="12">
        <f>IF(G115="","",IF(I115&lt;&gt;"","Replied",IF(G115&lt;=TODAY(),"DUE","Waiting")))</f>
      </c>
      <c r="I115" s="13"/>
      <c r="J115" s="12"/>
      <c r="K115" s="13"/>
      <c r="L115" s="16"/>
    </row>
    <row r="116" spans="1:12" x14ac:dyDescent="0.25">
      <c r="A116" s="12"/>
      <c r="B116" s="12"/>
      <c r="C116" s="12"/>
      <c r="D116" s="12"/>
      <c r="E116" s="12"/>
      <c r="F116" s="13"/>
      <c r="G116" s="13">
        <f>IF(OR(F116="",I116&lt;&gt;""),"",WORKDAY(F116,Dashboard!$B$22))</f>
      </c>
      <c r="H116" s="12">
        <f>IF(G116="","",IF(I116&lt;&gt;"","Replied",IF(G116&lt;=TODAY(),"DUE","Waiting")))</f>
      </c>
      <c r="I116" s="13"/>
      <c r="J116" s="12"/>
      <c r="K116" s="13"/>
      <c r="L116" s="16"/>
    </row>
    <row r="117" spans="1:12" x14ac:dyDescent="0.25">
      <c r="A117" s="12"/>
      <c r="B117" s="12"/>
      <c r="C117" s="12"/>
      <c r="D117" s="12"/>
      <c r="E117" s="12"/>
      <c r="F117" s="13"/>
      <c r="G117" s="13">
        <f>IF(OR(F117="",I117&lt;&gt;""),"",WORKDAY(F117,Dashboard!$B$22))</f>
      </c>
      <c r="H117" s="12">
        <f>IF(G117="","",IF(I117&lt;&gt;"","Replied",IF(G117&lt;=TODAY(),"DUE","Waiting")))</f>
      </c>
      <c r="I117" s="13"/>
      <c r="J117" s="12"/>
      <c r="K117" s="13"/>
      <c r="L117" s="16"/>
    </row>
    <row r="118" spans="1:12" x14ac:dyDescent="0.25">
      <c r="A118" s="12"/>
      <c r="B118" s="12"/>
      <c r="C118" s="12"/>
      <c r="D118" s="12"/>
      <c r="E118" s="12"/>
      <c r="F118" s="13"/>
      <c r="G118" s="13">
        <f>IF(OR(F118="",I118&lt;&gt;""),"",WORKDAY(F118,Dashboard!$B$22))</f>
      </c>
      <c r="H118" s="12">
        <f>IF(G118="","",IF(I118&lt;&gt;"","Replied",IF(G118&lt;=TODAY(),"DUE","Waiting")))</f>
      </c>
      <c r="I118" s="13"/>
      <c r="J118" s="12"/>
      <c r="K118" s="13"/>
      <c r="L118" s="16"/>
    </row>
    <row r="119" spans="1:12" x14ac:dyDescent="0.25">
      <c r="A119" s="12"/>
      <c r="B119" s="12"/>
      <c r="C119" s="12"/>
      <c r="D119" s="12"/>
      <c r="E119" s="12"/>
      <c r="F119" s="13"/>
      <c r="G119" s="13">
        <f>IF(OR(F119="",I119&lt;&gt;""),"",WORKDAY(F119,Dashboard!$B$22))</f>
      </c>
      <c r="H119" s="12">
        <f>IF(G119="","",IF(I119&lt;&gt;"","Replied",IF(G119&lt;=TODAY(),"DUE","Waiting")))</f>
      </c>
      <c r="I119" s="13"/>
      <c r="J119" s="12"/>
      <c r="K119" s="13"/>
      <c r="L119" s="16"/>
    </row>
    <row r="120" spans="1:12" x14ac:dyDescent="0.25">
      <c r="A120" s="12"/>
      <c r="B120" s="12"/>
      <c r="C120" s="12"/>
      <c r="D120" s="12"/>
      <c r="E120" s="12"/>
      <c r="F120" s="13"/>
      <c r="G120" s="13">
        <f>IF(OR(F120="",I120&lt;&gt;""),"",WORKDAY(F120,Dashboard!$B$22))</f>
      </c>
      <c r="H120" s="12">
        <f>IF(G120="","",IF(I120&lt;&gt;"","Replied",IF(G120&lt;=TODAY(),"DUE","Waiting")))</f>
      </c>
      <c r="I120" s="13"/>
      <c r="J120" s="12"/>
      <c r="K120" s="13"/>
      <c r="L120" s="16"/>
    </row>
    <row r="121" spans="1:12" x14ac:dyDescent="0.25">
      <c r="A121" s="12"/>
      <c r="B121" s="12"/>
      <c r="C121" s="12"/>
      <c r="D121" s="12"/>
      <c r="E121" s="12"/>
      <c r="F121" s="13"/>
      <c r="G121" s="13">
        <f>IF(OR(F121="",I121&lt;&gt;""),"",WORKDAY(F121,Dashboard!$B$22))</f>
      </c>
      <c r="H121" s="12">
        <f>IF(G121="","",IF(I121&lt;&gt;"","Replied",IF(G121&lt;=TODAY(),"DUE","Waiting")))</f>
      </c>
      <c r="I121" s="13"/>
      <c r="J121" s="12"/>
      <c r="K121" s="13"/>
      <c r="L121" s="16"/>
    </row>
    <row r="122" spans="1:12" x14ac:dyDescent="0.25">
      <c r="A122" s="12"/>
      <c r="B122" s="12"/>
      <c r="C122" s="12"/>
      <c r="D122" s="12"/>
      <c r="E122" s="12"/>
      <c r="F122" s="13"/>
      <c r="G122" s="13">
        <f>IF(OR(F122="",I122&lt;&gt;""),"",WORKDAY(F122,Dashboard!$B$22))</f>
      </c>
      <c r="H122" s="12">
        <f>IF(G122="","",IF(I122&lt;&gt;"","Replied",IF(G122&lt;=TODAY(),"DUE","Waiting")))</f>
      </c>
      <c r="I122" s="13"/>
      <c r="J122" s="12"/>
      <c r="K122" s="13"/>
      <c r="L122" s="16"/>
    </row>
    <row r="123" spans="1:12" x14ac:dyDescent="0.25">
      <c r="A123" s="12"/>
      <c r="B123" s="12"/>
      <c r="C123" s="12"/>
      <c r="D123" s="12"/>
      <c r="E123" s="12"/>
      <c r="F123" s="13"/>
      <c r="G123" s="13">
        <f>IF(OR(F123="",I123&lt;&gt;""),"",WORKDAY(F123,Dashboard!$B$22))</f>
      </c>
      <c r="H123" s="12">
        <f>IF(G123="","",IF(I123&lt;&gt;"","Replied",IF(G123&lt;=TODAY(),"DUE","Waiting")))</f>
      </c>
      <c r="I123" s="13"/>
      <c r="J123" s="12"/>
      <c r="K123" s="13"/>
      <c r="L123" s="16"/>
    </row>
    <row r="124" spans="1:12" x14ac:dyDescent="0.25">
      <c r="A124" s="12"/>
      <c r="B124" s="12"/>
      <c r="C124" s="12"/>
      <c r="D124" s="12"/>
      <c r="E124" s="12"/>
      <c r="F124" s="13"/>
      <c r="G124" s="13">
        <f>IF(OR(F124="",I124&lt;&gt;""),"",WORKDAY(F124,Dashboard!$B$22))</f>
      </c>
      <c r="H124" s="12">
        <f>IF(G124="","",IF(I124&lt;&gt;"","Replied",IF(G124&lt;=TODAY(),"DUE","Waiting")))</f>
      </c>
      <c r="I124" s="13"/>
      <c r="J124" s="12"/>
      <c r="K124" s="13"/>
      <c r="L124" s="16"/>
    </row>
    <row r="125" spans="1:12" x14ac:dyDescent="0.25">
      <c r="A125" s="12"/>
      <c r="B125" s="12"/>
      <c r="C125" s="12"/>
      <c r="D125" s="12"/>
      <c r="E125" s="12"/>
      <c r="F125" s="13"/>
      <c r="G125" s="13">
        <f>IF(OR(F125="",I125&lt;&gt;""),"",WORKDAY(F125,Dashboard!$B$22))</f>
      </c>
      <c r="H125" s="12">
        <f>IF(G125="","",IF(I125&lt;&gt;"","Replied",IF(G125&lt;=TODAY(),"DUE","Waiting")))</f>
      </c>
      <c r="I125" s="13"/>
      <c r="J125" s="12"/>
      <c r="K125" s="13"/>
      <c r="L125" s="16"/>
    </row>
    <row r="126" spans="1:12" x14ac:dyDescent="0.25">
      <c r="A126" s="12"/>
      <c r="B126" s="12"/>
      <c r="C126" s="12"/>
      <c r="D126" s="12"/>
      <c r="E126" s="12"/>
      <c r="F126" s="13"/>
      <c r="G126" s="13">
        <f>IF(OR(F126="",I126&lt;&gt;""),"",WORKDAY(F126,Dashboard!$B$22))</f>
      </c>
      <c r="H126" s="12">
        <f>IF(G126="","",IF(I126&lt;&gt;"","Replied",IF(G126&lt;=TODAY(),"DUE","Waiting")))</f>
      </c>
      <c r="I126" s="13"/>
      <c r="J126" s="12"/>
      <c r="K126" s="13"/>
      <c r="L126" s="16"/>
    </row>
    <row r="127" spans="1:12" x14ac:dyDescent="0.25">
      <c r="A127" s="12"/>
      <c r="B127" s="12"/>
      <c r="C127" s="12"/>
      <c r="D127" s="12"/>
      <c r="E127" s="12"/>
      <c r="F127" s="13"/>
      <c r="G127" s="13">
        <f>IF(OR(F127="",I127&lt;&gt;""),"",WORKDAY(F127,Dashboard!$B$22))</f>
      </c>
      <c r="H127" s="12">
        <f>IF(G127="","",IF(I127&lt;&gt;"","Replied",IF(G127&lt;=TODAY(),"DUE","Waiting")))</f>
      </c>
      <c r="I127" s="13"/>
      <c r="J127" s="12"/>
      <c r="K127" s="13"/>
      <c r="L127" s="16"/>
    </row>
    <row r="128" spans="1:12" x14ac:dyDescent="0.25">
      <c r="A128" s="12"/>
      <c r="B128" s="12"/>
      <c r="C128" s="12"/>
      <c r="D128" s="12"/>
      <c r="E128" s="12"/>
      <c r="F128" s="13"/>
      <c r="G128" s="13">
        <f>IF(OR(F128="",I128&lt;&gt;""),"",WORKDAY(F128,Dashboard!$B$22))</f>
      </c>
      <c r="H128" s="12">
        <f>IF(G128="","",IF(I128&lt;&gt;"","Replied",IF(G128&lt;=TODAY(),"DUE","Waiting")))</f>
      </c>
      <c r="I128" s="13"/>
      <c r="J128" s="12"/>
      <c r="K128" s="13"/>
      <c r="L128" s="16"/>
    </row>
    <row r="129" spans="1:12" x14ac:dyDescent="0.25">
      <c r="A129" s="12"/>
      <c r="B129" s="12"/>
      <c r="C129" s="12"/>
      <c r="D129" s="12"/>
      <c r="E129" s="12"/>
      <c r="F129" s="13"/>
      <c r="G129" s="13">
        <f>IF(OR(F129="",I129&lt;&gt;""),"",WORKDAY(F129,Dashboard!$B$22))</f>
      </c>
      <c r="H129" s="12">
        <f>IF(G129="","",IF(I129&lt;&gt;"","Replied",IF(G129&lt;=TODAY(),"DUE","Waiting")))</f>
      </c>
      <c r="I129" s="13"/>
      <c r="J129" s="12"/>
      <c r="K129" s="13"/>
      <c r="L129" s="16"/>
    </row>
    <row r="130" spans="1:12" x14ac:dyDescent="0.25">
      <c r="A130" s="12"/>
      <c r="B130" s="12"/>
      <c r="C130" s="12"/>
      <c r="D130" s="12"/>
      <c r="E130" s="12"/>
      <c r="F130" s="13"/>
      <c r="G130" s="13">
        <f>IF(OR(F130="",I130&lt;&gt;""),"",WORKDAY(F130,Dashboard!$B$22))</f>
      </c>
      <c r="H130" s="12">
        <f>IF(G130="","",IF(I130&lt;&gt;"","Replied",IF(G130&lt;=TODAY(),"DUE","Waiting")))</f>
      </c>
      <c r="I130" s="13"/>
      <c r="J130" s="12"/>
      <c r="K130" s="13"/>
      <c r="L130" s="16"/>
    </row>
    <row r="131" spans="1:12" x14ac:dyDescent="0.25">
      <c r="A131" s="12"/>
      <c r="B131" s="12"/>
      <c r="C131" s="12"/>
      <c r="D131" s="12"/>
      <c r="E131" s="12"/>
      <c r="F131" s="13"/>
      <c r="G131" s="13">
        <f>IF(OR(F131="",I131&lt;&gt;""),"",WORKDAY(F131,Dashboard!$B$22))</f>
      </c>
      <c r="H131" s="12">
        <f>IF(G131="","",IF(I131&lt;&gt;"","Replied",IF(G131&lt;=TODAY(),"DUE","Waiting")))</f>
      </c>
      <c r="I131" s="13"/>
      <c r="J131" s="12"/>
      <c r="K131" s="13"/>
      <c r="L131" s="16"/>
    </row>
    <row r="132" spans="1:12" x14ac:dyDescent="0.25">
      <c r="A132" s="12"/>
      <c r="B132" s="12"/>
      <c r="C132" s="12"/>
      <c r="D132" s="12"/>
      <c r="E132" s="12"/>
      <c r="F132" s="13"/>
      <c r="G132" s="13">
        <f>IF(OR(F132="",I132&lt;&gt;""),"",WORKDAY(F132,Dashboard!$B$22))</f>
      </c>
      <c r="H132" s="12">
        <f>IF(G132="","",IF(I132&lt;&gt;"","Replied",IF(G132&lt;=TODAY(),"DUE","Waiting")))</f>
      </c>
      <c r="I132" s="13"/>
      <c r="J132" s="12"/>
      <c r="K132" s="13"/>
      <c r="L132" s="16"/>
    </row>
    <row r="133" spans="1:12" x14ac:dyDescent="0.25">
      <c r="A133" s="12"/>
      <c r="B133" s="12"/>
      <c r="C133" s="12"/>
      <c r="D133" s="12"/>
      <c r="E133" s="12"/>
      <c r="F133" s="13"/>
      <c r="G133" s="13">
        <f>IF(OR(F133="",I133&lt;&gt;""),"",WORKDAY(F133,Dashboard!$B$22))</f>
      </c>
      <c r="H133" s="12">
        <f>IF(G133="","",IF(I133&lt;&gt;"","Replied",IF(G133&lt;=TODAY(),"DUE","Waiting")))</f>
      </c>
      <c r="I133" s="13"/>
      <c r="J133" s="12"/>
      <c r="K133" s="13"/>
      <c r="L133" s="16"/>
    </row>
    <row r="134" spans="1:12" x14ac:dyDescent="0.25">
      <c r="A134" s="12"/>
      <c r="B134" s="12"/>
      <c r="C134" s="12"/>
      <c r="D134" s="12"/>
      <c r="E134" s="12"/>
      <c r="F134" s="13"/>
      <c r="G134" s="13">
        <f>IF(OR(F134="",I134&lt;&gt;""),"",WORKDAY(F134,Dashboard!$B$22))</f>
      </c>
      <c r="H134" s="12">
        <f>IF(G134="","",IF(I134&lt;&gt;"","Replied",IF(G134&lt;=TODAY(),"DUE","Waiting")))</f>
      </c>
      <c r="I134" s="13"/>
      <c r="J134" s="12"/>
      <c r="K134" s="13"/>
      <c r="L134" s="16"/>
    </row>
    <row r="135" spans="1:12" x14ac:dyDescent="0.25">
      <c r="A135" s="12"/>
      <c r="B135" s="12"/>
      <c r="C135" s="12"/>
      <c r="D135" s="12"/>
      <c r="E135" s="12"/>
      <c r="F135" s="13"/>
      <c r="G135" s="13">
        <f>IF(OR(F135="",I135&lt;&gt;""),"",WORKDAY(F135,Dashboard!$B$22))</f>
      </c>
      <c r="H135" s="12">
        <f>IF(G135="","",IF(I135&lt;&gt;"","Replied",IF(G135&lt;=TODAY(),"DUE","Waiting")))</f>
      </c>
      <c r="I135" s="13"/>
      <c r="J135" s="12"/>
      <c r="K135" s="13"/>
      <c r="L135" s="16"/>
    </row>
    <row r="136" spans="1:12" x14ac:dyDescent="0.25">
      <c r="A136" s="12"/>
      <c r="B136" s="12"/>
      <c r="C136" s="12"/>
      <c r="D136" s="12"/>
      <c r="E136" s="12"/>
      <c r="F136" s="13"/>
      <c r="G136" s="13">
        <f>IF(OR(F136="",I136&lt;&gt;""),"",WORKDAY(F136,Dashboard!$B$22))</f>
      </c>
      <c r="H136" s="12">
        <f>IF(G136="","",IF(I136&lt;&gt;"","Replied",IF(G136&lt;=TODAY(),"DUE","Waiting")))</f>
      </c>
      <c r="I136" s="13"/>
      <c r="J136" s="12"/>
      <c r="K136" s="13"/>
      <c r="L136" s="16"/>
    </row>
    <row r="137" spans="1:12" x14ac:dyDescent="0.25">
      <c r="A137" s="12"/>
      <c r="B137" s="12"/>
      <c r="C137" s="12"/>
      <c r="D137" s="12"/>
      <c r="E137" s="12"/>
      <c r="F137" s="13"/>
      <c r="G137" s="13">
        <f>IF(OR(F137="",I137&lt;&gt;""),"",WORKDAY(F137,Dashboard!$B$22))</f>
      </c>
      <c r="H137" s="12">
        <f>IF(G137="","",IF(I137&lt;&gt;"","Replied",IF(G137&lt;=TODAY(),"DUE","Waiting")))</f>
      </c>
      <c r="I137" s="13"/>
      <c r="J137" s="12"/>
      <c r="K137" s="13"/>
      <c r="L137" s="16"/>
    </row>
    <row r="138" spans="1:12" x14ac:dyDescent="0.25">
      <c r="A138" s="12"/>
      <c r="B138" s="12"/>
      <c r="C138" s="12"/>
      <c r="D138" s="12"/>
      <c r="E138" s="12"/>
      <c r="F138" s="13"/>
      <c r="G138" s="13">
        <f>IF(OR(F138="",I138&lt;&gt;""),"",WORKDAY(F138,Dashboard!$B$22))</f>
      </c>
      <c r="H138" s="12">
        <f>IF(G138="","",IF(I138&lt;&gt;"","Replied",IF(G138&lt;=TODAY(),"DUE","Waiting")))</f>
      </c>
      <c r="I138" s="13"/>
      <c r="J138" s="12"/>
      <c r="K138" s="13"/>
      <c r="L138" s="16"/>
    </row>
    <row r="139" spans="1:12" x14ac:dyDescent="0.25">
      <c r="A139" s="12"/>
      <c r="B139" s="12"/>
      <c r="C139" s="12"/>
      <c r="D139" s="12"/>
      <c r="E139" s="12"/>
      <c r="F139" s="13"/>
      <c r="G139" s="13">
        <f>IF(OR(F139="",I139&lt;&gt;""),"",WORKDAY(F139,Dashboard!$B$22))</f>
      </c>
      <c r="H139" s="12">
        <f>IF(G139="","",IF(I139&lt;&gt;"","Replied",IF(G139&lt;=TODAY(),"DUE","Waiting")))</f>
      </c>
      <c r="I139" s="13"/>
      <c r="J139" s="12"/>
      <c r="K139" s="13"/>
      <c r="L139" s="16"/>
    </row>
    <row r="140" spans="1:12" x14ac:dyDescent="0.25">
      <c r="A140" s="12"/>
      <c r="B140" s="12"/>
      <c r="C140" s="12"/>
      <c r="D140" s="12"/>
      <c r="E140" s="12"/>
      <c r="F140" s="13"/>
      <c r="G140" s="13">
        <f>IF(OR(F140="",I140&lt;&gt;""),"",WORKDAY(F140,Dashboard!$B$22))</f>
      </c>
      <c r="H140" s="12">
        <f>IF(G140="","",IF(I140&lt;&gt;"","Replied",IF(G140&lt;=TODAY(),"DUE","Waiting")))</f>
      </c>
      <c r="I140" s="13"/>
      <c r="J140" s="12"/>
      <c r="K140" s="13"/>
      <c r="L140" s="16"/>
    </row>
    <row r="141" spans="1:12" x14ac:dyDescent="0.25">
      <c r="A141" s="12"/>
      <c r="B141" s="12"/>
      <c r="C141" s="12"/>
      <c r="D141" s="12"/>
      <c r="E141" s="12"/>
      <c r="F141" s="13"/>
      <c r="G141" s="13">
        <f>IF(OR(F141="",I141&lt;&gt;""),"",WORKDAY(F141,Dashboard!$B$22))</f>
      </c>
      <c r="H141" s="12">
        <f>IF(G141="","",IF(I141&lt;&gt;"","Replied",IF(G141&lt;=TODAY(),"DUE","Waiting")))</f>
      </c>
      <c r="I141" s="13"/>
      <c r="J141" s="12"/>
      <c r="K141" s="13"/>
      <c r="L141" s="16"/>
    </row>
    <row r="142" spans="1:12" x14ac:dyDescent="0.25">
      <c r="A142" s="12"/>
      <c r="B142" s="12"/>
      <c r="C142" s="12"/>
      <c r="D142" s="12"/>
      <c r="E142" s="12"/>
      <c r="F142" s="13"/>
      <c r="G142" s="13">
        <f>IF(OR(F142="",I142&lt;&gt;""),"",WORKDAY(F142,Dashboard!$B$22))</f>
      </c>
      <c r="H142" s="12">
        <f>IF(G142="","",IF(I142&lt;&gt;"","Replied",IF(G142&lt;=TODAY(),"DUE","Waiting")))</f>
      </c>
      <c r="I142" s="13"/>
      <c r="J142" s="12"/>
      <c r="K142" s="13"/>
      <c r="L142" s="16"/>
    </row>
    <row r="143" spans="1:12" x14ac:dyDescent="0.25">
      <c r="A143" s="12"/>
      <c r="B143" s="12"/>
      <c r="C143" s="12"/>
      <c r="D143" s="12"/>
      <c r="E143" s="12"/>
      <c r="F143" s="13"/>
      <c r="G143" s="13">
        <f>IF(OR(F143="",I143&lt;&gt;""),"",WORKDAY(F143,Dashboard!$B$22))</f>
      </c>
      <c r="H143" s="12">
        <f>IF(G143="","",IF(I143&lt;&gt;"","Replied",IF(G143&lt;=TODAY(),"DUE","Waiting")))</f>
      </c>
      <c r="I143" s="13"/>
      <c r="J143" s="12"/>
      <c r="K143" s="13"/>
      <c r="L143" s="16"/>
    </row>
    <row r="144" spans="1:12" x14ac:dyDescent="0.25">
      <c r="A144" s="12"/>
      <c r="B144" s="12"/>
      <c r="C144" s="12"/>
      <c r="D144" s="12"/>
      <c r="E144" s="12"/>
      <c r="F144" s="13"/>
      <c r="G144" s="13">
        <f>IF(OR(F144="",I144&lt;&gt;""),"",WORKDAY(F144,Dashboard!$B$22))</f>
      </c>
      <c r="H144" s="12">
        <f>IF(G144="","",IF(I144&lt;&gt;"","Replied",IF(G144&lt;=TODAY(),"DUE","Waiting")))</f>
      </c>
      <c r="I144" s="13"/>
      <c r="J144" s="12"/>
      <c r="K144" s="13"/>
      <c r="L144" s="16"/>
    </row>
    <row r="145" spans="1:12" x14ac:dyDescent="0.25">
      <c r="A145" s="12"/>
      <c r="B145" s="12"/>
      <c r="C145" s="12"/>
      <c r="D145" s="12"/>
      <c r="E145" s="12"/>
      <c r="F145" s="13"/>
      <c r="G145" s="13">
        <f>IF(OR(F145="",I145&lt;&gt;""),"",WORKDAY(F145,Dashboard!$B$22))</f>
      </c>
      <c r="H145" s="12">
        <f>IF(G145="","",IF(I145&lt;&gt;"","Replied",IF(G145&lt;=TODAY(),"DUE","Waiting")))</f>
      </c>
      <c r="I145" s="13"/>
      <c r="J145" s="12"/>
      <c r="K145" s="13"/>
      <c r="L145" s="16"/>
    </row>
    <row r="146" spans="1:12" x14ac:dyDescent="0.25">
      <c r="A146" s="12"/>
      <c r="B146" s="12"/>
      <c r="C146" s="12"/>
      <c r="D146" s="12"/>
      <c r="E146" s="12"/>
      <c r="F146" s="13"/>
      <c r="G146" s="13">
        <f>IF(OR(F146="",I146&lt;&gt;""),"",WORKDAY(F146,Dashboard!$B$22))</f>
      </c>
      <c r="H146" s="12">
        <f>IF(G146="","",IF(I146&lt;&gt;"","Replied",IF(G146&lt;=TODAY(),"DUE","Waiting")))</f>
      </c>
      <c r="I146" s="13"/>
      <c r="J146" s="12"/>
      <c r="K146" s="13"/>
      <c r="L146" s="16"/>
    </row>
    <row r="147" spans="1:12" x14ac:dyDescent="0.25">
      <c r="A147" s="12"/>
      <c r="B147" s="12"/>
      <c r="C147" s="12"/>
      <c r="D147" s="12"/>
      <c r="E147" s="12"/>
      <c r="F147" s="13"/>
      <c r="G147" s="13">
        <f>IF(OR(F147="",I147&lt;&gt;""),"",WORKDAY(F147,Dashboard!$B$22))</f>
      </c>
      <c r="H147" s="12">
        <f>IF(G147="","",IF(I147&lt;&gt;"","Replied",IF(G147&lt;=TODAY(),"DUE","Waiting")))</f>
      </c>
      <c r="I147" s="13"/>
      <c r="J147" s="12"/>
      <c r="K147" s="13"/>
      <c r="L147" s="16"/>
    </row>
    <row r="148" spans="1:12" x14ac:dyDescent="0.25">
      <c r="A148" s="12"/>
      <c r="B148" s="12"/>
      <c r="C148" s="12"/>
      <c r="D148" s="12"/>
      <c r="E148" s="12"/>
      <c r="F148" s="13"/>
      <c r="G148" s="13">
        <f>IF(OR(F148="",I148&lt;&gt;""),"",WORKDAY(F148,Dashboard!$B$22))</f>
      </c>
      <c r="H148" s="12">
        <f>IF(G148="","",IF(I148&lt;&gt;"","Replied",IF(G148&lt;=TODAY(),"DUE","Waiting")))</f>
      </c>
      <c r="I148" s="13"/>
      <c r="J148" s="12"/>
      <c r="K148" s="13"/>
      <c r="L148" s="16"/>
    </row>
    <row r="149" spans="1:12" x14ac:dyDescent="0.25">
      <c r="A149" s="12"/>
      <c r="B149" s="12"/>
      <c r="C149" s="12"/>
      <c r="D149" s="12"/>
      <c r="E149" s="12"/>
      <c r="F149" s="13"/>
      <c r="G149" s="13">
        <f>IF(OR(F149="",I149&lt;&gt;""),"",WORKDAY(F149,Dashboard!$B$22))</f>
      </c>
      <c r="H149" s="12">
        <f>IF(G149="","",IF(I149&lt;&gt;"","Replied",IF(G149&lt;=TODAY(),"DUE","Waiting")))</f>
      </c>
      <c r="I149" s="13"/>
      <c r="J149" s="12"/>
      <c r="K149" s="13"/>
      <c r="L149" s="16"/>
    </row>
    <row r="150" spans="1:12" x14ac:dyDescent="0.25">
      <c r="A150" s="12"/>
      <c r="B150" s="12"/>
      <c r="C150" s="12"/>
      <c r="D150" s="12"/>
      <c r="E150" s="12"/>
      <c r="F150" s="13"/>
      <c r="G150" s="13">
        <f>IF(OR(F150="",I150&lt;&gt;""),"",WORKDAY(F150,Dashboard!$B$22))</f>
      </c>
      <c r="H150" s="12">
        <f>IF(G150="","",IF(I150&lt;&gt;"","Replied",IF(G150&lt;=TODAY(),"DUE","Waiting")))</f>
      </c>
      <c r="I150" s="13"/>
      <c r="J150" s="12"/>
      <c r="K150" s="13"/>
      <c r="L150" s="16"/>
    </row>
    <row r="151" spans="1:12" x14ac:dyDescent="0.25">
      <c r="A151" s="12"/>
      <c r="B151" s="12"/>
      <c r="C151" s="12"/>
      <c r="D151" s="12"/>
      <c r="E151" s="12"/>
      <c r="F151" s="13"/>
      <c r="G151" s="13">
        <f>IF(OR(F151="",I151&lt;&gt;""),"",WORKDAY(F151,Dashboard!$B$22))</f>
      </c>
      <c r="H151" s="12">
        <f>IF(G151="","",IF(I151&lt;&gt;"","Replied",IF(G151&lt;=TODAY(),"DUE","Waiting")))</f>
      </c>
      <c r="I151" s="13"/>
      <c r="J151" s="12"/>
      <c r="K151" s="13"/>
      <c r="L151" s="16"/>
    </row>
    <row r="152" spans="1:12" x14ac:dyDescent="0.25">
      <c r="A152" s="12"/>
      <c r="B152" s="12"/>
      <c r="C152" s="12"/>
      <c r="D152" s="12"/>
      <c r="E152" s="12"/>
      <c r="F152" s="13"/>
      <c r="G152" s="13">
        <f>IF(OR(F152="",I152&lt;&gt;""),"",WORKDAY(F152,Dashboard!$B$22))</f>
      </c>
      <c r="H152" s="12">
        <f>IF(G152="","",IF(I152&lt;&gt;"","Replied",IF(G152&lt;=TODAY(),"DUE","Waiting")))</f>
      </c>
      <c r="I152" s="13"/>
      <c r="J152" s="12"/>
      <c r="K152" s="13"/>
      <c r="L152" s="16"/>
    </row>
    <row r="153" spans="1:12" x14ac:dyDescent="0.25">
      <c r="A153" s="12"/>
      <c r="B153" s="12"/>
      <c r="C153" s="12"/>
      <c r="D153" s="12"/>
      <c r="E153" s="12"/>
      <c r="F153" s="13"/>
      <c r="G153" s="13">
        <f>IF(OR(F153="",I153&lt;&gt;""),"",WORKDAY(F153,Dashboard!$B$22))</f>
      </c>
      <c r="H153" s="12">
        <f>IF(G153="","",IF(I153&lt;&gt;"","Replied",IF(G153&lt;=TODAY(),"DUE","Waiting")))</f>
      </c>
      <c r="I153" s="13"/>
      <c r="J153" s="12"/>
      <c r="K153" s="13"/>
      <c r="L153" s="16"/>
    </row>
    <row r="154" spans="1:12" x14ac:dyDescent="0.25">
      <c r="A154" s="12"/>
      <c r="B154" s="12"/>
      <c r="C154" s="12"/>
      <c r="D154" s="12"/>
      <c r="E154" s="12"/>
      <c r="F154" s="13"/>
      <c r="G154" s="13">
        <f>IF(OR(F154="",I154&lt;&gt;""),"",WORKDAY(F154,Dashboard!$B$22))</f>
      </c>
      <c r="H154" s="12">
        <f>IF(G154="","",IF(I154&lt;&gt;"","Replied",IF(G154&lt;=TODAY(),"DUE","Waiting")))</f>
      </c>
      <c r="I154" s="13"/>
      <c r="J154" s="12"/>
      <c r="K154" s="13"/>
      <c r="L154" s="16"/>
    </row>
    <row r="155" spans="1:12" x14ac:dyDescent="0.25">
      <c r="A155" s="12"/>
      <c r="B155" s="12"/>
      <c r="C155" s="12"/>
      <c r="D155" s="12"/>
      <c r="E155" s="12"/>
      <c r="F155" s="13"/>
      <c r="G155" s="13">
        <f>IF(OR(F155="",I155&lt;&gt;""),"",WORKDAY(F155,Dashboard!$B$22))</f>
      </c>
      <c r="H155" s="12">
        <f>IF(G155="","",IF(I155&lt;&gt;"","Replied",IF(G155&lt;=TODAY(),"DUE","Waiting")))</f>
      </c>
      <c r="I155" s="13"/>
      <c r="J155" s="12"/>
      <c r="K155" s="13"/>
      <c r="L155" s="16"/>
    </row>
    <row r="156" spans="1:12" x14ac:dyDescent="0.25">
      <c r="A156" s="12"/>
      <c r="B156" s="12"/>
      <c r="C156" s="12"/>
      <c r="D156" s="12"/>
      <c r="E156" s="12"/>
      <c r="F156" s="13"/>
      <c r="G156" s="13">
        <f>IF(OR(F156="",I156&lt;&gt;""),"",WORKDAY(F156,Dashboard!$B$22))</f>
      </c>
      <c r="H156" s="12">
        <f>IF(G156="","",IF(I156&lt;&gt;"","Replied",IF(G156&lt;=TODAY(),"DUE","Waiting")))</f>
      </c>
      <c r="I156" s="13"/>
      <c r="J156" s="12"/>
      <c r="K156" s="13"/>
      <c r="L156" s="16"/>
    </row>
    <row r="157" spans="1:12" x14ac:dyDescent="0.25">
      <c r="A157" s="12"/>
      <c r="B157" s="12"/>
      <c r="C157" s="12"/>
      <c r="D157" s="12"/>
      <c r="E157" s="12"/>
      <c r="F157" s="13"/>
      <c r="G157" s="13">
        <f>IF(OR(F157="",I157&lt;&gt;""),"",WORKDAY(F157,Dashboard!$B$22))</f>
      </c>
      <c r="H157" s="12">
        <f>IF(G157="","",IF(I157&lt;&gt;"","Replied",IF(G157&lt;=TODAY(),"DUE","Waiting")))</f>
      </c>
      <c r="I157" s="13"/>
      <c r="J157" s="12"/>
      <c r="K157" s="13"/>
      <c r="L157" s="16"/>
    </row>
    <row r="158" spans="1:12" x14ac:dyDescent="0.25">
      <c r="A158" s="12"/>
      <c r="B158" s="12"/>
      <c r="C158" s="12"/>
      <c r="D158" s="12"/>
      <c r="E158" s="12"/>
      <c r="F158" s="13"/>
      <c r="G158" s="13">
        <f>IF(OR(F158="",I158&lt;&gt;""),"",WORKDAY(F158,Dashboard!$B$22))</f>
      </c>
      <c r="H158" s="12">
        <f>IF(G158="","",IF(I158&lt;&gt;"","Replied",IF(G158&lt;=TODAY(),"DUE","Waiting")))</f>
      </c>
      <c r="I158" s="13"/>
      <c r="J158" s="12"/>
      <c r="K158" s="13"/>
      <c r="L158" s="16"/>
    </row>
    <row r="159" spans="1:12" x14ac:dyDescent="0.25">
      <c r="A159" s="12"/>
      <c r="B159" s="12"/>
      <c r="C159" s="12"/>
      <c r="D159" s="12"/>
      <c r="E159" s="12"/>
      <c r="F159" s="13"/>
      <c r="G159" s="13">
        <f>IF(OR(F159="",I159&lt;&gt;""),"",WORKDAY(F159,Dashboard!$B$22))</f>
      </c>
      <c r="H159" s="12">
        <f>IF(G159="","",IF(I159&lt;&gt;"","Replied",IF(G159&lt;=TODAY(),"DUE","Waiting")))</f>
      </c>
      <c r="I159" s="13"/>
      <c r="J159" s="12"/>
      <c r="K159" s="13"/>
      <c r="L159" s="16"/>
    </row>
    <row r="160" spans="1:12" x14ac:dyDescent="0.25">
      <c r="A160" s="12"/>
      <c r="B160" s="12"/>
      <c r="C160" s="12"/>
      <c r="D160" s="12"/>
      <c r="E160" s="12"/>
      <c r="F160" s="13"/>
      <c r="G160" s="13">
        <f>IF(OR(F160="",I160&lt;&gt;""),"",WORKDAY(F160,Dashboard!$B$22))</f>
      </c>
      <c r="H160" s="12">
        <f>IF(G160="","",IF(I160&lt;&gt;"","Replied",IF(G160&lt;=TODAY(),"DUE","Waiting")))</f>
      </c>
      <c r="I160" s="13"/>
      <c r="J160" s="12"/>
      <c r="K160" s="13"/>
      <c r="L160" s="16"/>
    </row>
    <row r="161" spans="1:12" x14ac:dyDescent="0.25">
      <c r="A161" s="12"/>
      <c r="B161" s="12"/>
      <c r="C161" s="12"/>
      <c r="D161" s="12"/>
      <c r="E161" s="12"/>
      <c r="F161" s="13"/>
      <c r="G161" s="13">
        <f>IF(OR(F161="",I161&lt;&gt;""),"",WORKDAY(F161,Dashboard!$B$22))</f>
      </c>
      <c r="H161" s="12">
        <f>IF(G161="","",IF(I161&lt;&gt;"","Replied",IF(G161&lt;=TODAY(),"DUE","Waiting")))</f>
      </c>
      <c r="I161" s="13"/>
      <c r="J161" s="12"/>
      <c r="K161" s="13"/>
      <c r="L161" s="16"/>
    </row>
    <row r="162" spans="1:12" x14ac:dyDescent="0.25">
      <c r="A162" s="12"/>
      <c r="B162" s="12"/>
      <c r="C162" s="12"/>
      <c r="D162" s="12"/>
      <c r="E162" s="12"/>
      <c r="F162" s="13"/>
      <c r="G162" s="13">
        <f>IF(OR(F162="",I162&lt;&gt;""),"",WORKDAY(F162,Dashboard!$B$22))</f>
      </c>
      <c r="H162" s="12">
        <f>IF(G162="","",IF(I162&lt;&gt;"","Replied",IF(G162&lt;=TODAY(),"DUE","Waiting")))</f>
      </c>
      <c r="I162" s="13"/>
      <c r="J162" s="12"/>
      <c r="K162" s="13"/>
      <c r="L162" s="16"/>
    </row>
    <row r="163" spans="1:12" x14ac:dyDescent="0.25">
      <c r="A163" s="12"/>
      <c r="B163" s="12"/>
      <c r="C163" s="12"/>
      <c r="D163" s="12"/>
      <c r="E163" s="12"/>
      <c r="F163" s="13"/>
      <c r="G163" s="13">
        <f>IF(OR(F163="",I163&lt;&gt;""),"",WORKDAY(F163,Dashboard!$B$22))</f>
      </c>
      <c r="H163" s="12">
        <f>IF(G163="","",IF(I163&lt;&gt;"","Replied",IF(G163&lt;=TODAY(),"DUE","Waiting")))</f>
      </c>
      <c r="I163" s="13"/>
      <c r="J163" s="12"/>
      <c r="K163" s="13"/>
      <c r="L163" s="16"/>
    </row>
    <row r="164" spans="1:12" x14ac:dyDescent="0.25">
      <c r="A164" s="12"/>
      <c r="B164" s="12"/>
      <c r="C164" s="12"/>
      <c r="D164" s="12"/>
      <c r="E164" s="12"/>
      <c r="F164" s="13"/>
      <c r="G164" s="13">
        <f>IF(OR(F164="",I164&lt;&gt;""),"",WORKDAY(F164,Dashboard!$B$22))</f>
      </c>
      <c r="H164" s="12">
        <f>IF(G164="","",IF(I164&lt;&gt;"","Replied",IF(G164&lt;=TODAY(),"DUE","Waiting")))</f>
      </c>
      <c r="I164" s="13"/>
      <c r="J164" s="12"/>
      <c r="K164" s="13"/>
      <c r="L164" s="16"/>
    </row>
    <row r="165" spans="1:12" x14ac:dyDescent="0.25">
      <c r="A165" s="12"/>
      <c r="B165" s="12"/>
      <c r="C165" s="12"/>
      <c r="D165" s="12"/>
      <c r="E165" s="12"/>
      <c r="F165" s="13"/>
      <c r="G165" s="13">
        <f>IF(OR(F165="",I165&lt;&gt;""),"",WORKDAY(F165,Dashboard!$B$22))</f>
      </c>
      <c r="H165" s="12">
        <f>IF(G165="","",IF(I165&lt;&gt;"","Replied",IF(G165&lt;=TODAY(),"DUE","Waiting")))</f>
      </c>
      <c r="I165" s="13"/>
      <c r="J165" s="12"/>
      <c r="K165" s="13"/>
      <c r="L165" s="16"/>
    </row>
    <row r="166" spans="1:12" x14ac:dyDescent="0.25">
      <c r="A166" s="12"/>
      <c r="B166" s="12"/>
      <c r="C166" s="12"/>
      <c r="D166" s="12"/>
      <c r="E166" s="12"/>
      <c r="F166" s="13"/>
      <c r="G166" s="13">
        <f>IF(OR(F166="",I166&lt;&gt;""),"",WORKDAY(F166,Dashboard!$B$22))</f>
      </c>
      <c r="H166" s="12">
        <f>IF(G166="","",IF(I166&lt;&gt;"","Replied",IF(G166&lt;=TODAY(),"DUE","Waiting")))</f>
      </c>
      <c r="I166" s="13"/>
      <c r="J166" s="12"/>
      <c r="K166" s="13"/>
      <c r="L166" s="16"/>
    </row>
    <row r="167" spans="1:12" x14ac:dyDescent="0.25">
      <c r="A167" s="12"/>
      <c r="B167" s="12"/>
      <c r="C167" s="12"/>
      <c r="D167" s="12"/>
      <c r="E167" s="12"/>
      <c r="F167" s="13"/>
      <c r="G167" s="13">
        <f>IF(OR(F167="",I167&lt;&gt;""),"",WORKDAY(F167,Dashboard!$B$22))</f>
      </c>
      <c r="H167" s="12">
        <f>IF(G167="","",IF(I167&lt;&gt;"","Replied",IF(G167&lt;=TODAY(),"DUE","Waiting")))</f>
      </c>
      <c r="I167" s="13"/>
      <c r="J167" s="12"/>
      <c r="K167" s="13"/>
      <c r="L167" s="16"/>
    </row>
    <row r="168" spans="1:12" x14ac:dyDescent="0.25">
      <c r="A168" s="12"/>
      <c r="B168" s="12"/>
      <c r="C168" s="12"/>
      <c r="D168" s="12"/>
      <c r="E168" s="12"/>
      <c r="F168" s="13"/>
      <c r="G168" s="13">
        <f>IF(OR(F168="",I168&lt;&gt;""),"",WORKDAY(F168,Dashboard!$B$22))</f>
      </c>
      <c r="H168" s="12">
        <f>IF(G168="","",IF(I168&lt;&gt;"","Replied",IF(G168&lt;=TODAY(),"DUE","Waiting")))</f>
      </c>
      <c r="I168" s="13"/>
      <c r="J168" s="12"/>
      <c r="K168" s="13"/>
      <c r="L168" s="16"/>
    </row>
    <row r="169" spans="1:12" x14ac:dyDescent="0.25">
      <c r="A169" s="12"/>
      <c r="B169" s="12"/>
      <c r="C169" s="12"/>
      <c r="D169" s="12"/>
      <c r="E169" s="12"/>
      <c r="F169" s="13"/>
      <c r="G169" s="13">
        <f>IF(OR(F169="",I169&lt;&gt;""),"",WORKDAY(F169,Dashboard!$B$22))</f>
      </c>
      <c r="H169" s="12">
        <f>IF(G169="","",IF(I169&lt;&gt;"","Replied",IF(G169&lt;=TODAY(),"DUE","Waiting")))</f>
      </c>
      <c r="I169" s="13"/>
      <c r="J169" s="12"/>
      <c r="K169" s="13"/>
      <c r="L169" s="16"/>
    </row>
    <row r="170" spans="1:12" x14ac:dyDescent="0.25">
      <c r="A170" s="12"/>
      <c r="B170" s="12"/>
      <c r="C170" s="12"/>
      <c r="D170" s="12"/>
      <c r="E170" s="12"/>
      <c r="F170" s="13"/>
      <c r="G170" s="13">
        <f>IF(OR(F170="",I170&lt;&gt;""),"",WORKDAY(F170,Dashboard!$B$22))</f>
      </c>
      <c r="H170" s="12">
        <f>IF(G170="","",IF(I170&lt;&gt;"","Replied",IF(G170&lt;=TODAY(),"DUE","Waiting")))</f>
      </c>
      <c r="I170" s="13"/>
      <c r="J170" s="12"/>
      <c r="K170" s="13"/>
      <c r="L170" s="16"/>
    </row>
    <row r="171" spans="1:12" x14ac:dyDescent="0.25">
      <c r="A171" s="12"/>
      <c r="B171" s="12"/>
      <c r="C171" s="12"/>
      <c r="D171" s="12"/>
      <c r="E171" s="12"/>
      <c r="F171" s="13"/>
      <c r="G171" s="13">
        <f>IF(OR(F171="",I171&lt;&gt;""),"",WORKDAY(F171,Dashboard!$B$22))</f>
      </c>
      <c r="H171" s="12">
        <f>IF(G171="","",IF(I171&lt;&gt;"","Replied",IF(G171&lt;=TODAY(),"DUE","Waiting")))</f>
      </c>
      <c r="I171" s="13"/>
      <c r="J171" s="12"/>
      <c r="K171" s="13"/>
      <c r="L171" s="16"/>
    </row>
    <row r="172" spans="1:12" x14ac:dyDescent="0.25">
      <c r="A172" s="12"/>
      <c r="B172" s="12"/>
      <c r="C172" s="12"/>
      <c r="D172" s="12"/>
      <c r="E172" s="12"/>
      <c r="F172" s="13"/>
      <c r="G172" s="13">
        <f>IF(OR(F172="",I172&lt;&gt;""),"",WORKDAY(F172,Dashboard!$B$22))</f>
      </c>
      <c r="H172" s="12">
        <f>IF(G172="","",IF(I172&lt;&gt;"","Replied",IF(G172&lt;=TODAY(),"DUE","Waiting")))</f>
      </c>
      <c r="I172" s="13"/>
      <c r="J172" s="12"/>
      <c r="K172" s="13"/>
      <c r="L172" s="16"/>
    </row>
    <row r="173" spans="1:12" x14ac:dyDescent="0.25">
      <c r="A173" s="12"/>
      <c r="B173" s="12"/>
      <c r="C173" s="12"/>
      <c r="D173" s="12"/>
      <c r="E173" s="12"/>
      <c r="F173" s="13"/>
      <c r="G173" s="13">
        <f>IF(OR(F173="",I173&lt;&gt;""),"",WORKDAY(F173,Dashboard!$B$22))</f>
      </c>
      <c r="H173" s="12">
        <f>IF(G173="","",IF(I173&lt;&gt;"","Replied",IF(G173&lt;=TODAY(),"DUE","Waiting")))</f>
      </c>
      <c r="I173" s="13"/>
      <c r="J173" s="12"/>
      <c r="K173" s="13"/>
      <c r="L173" s="16"/>
    </row>
    <row r="174" spans="1:12" x14ac:dyDescent="0.25">
      <c r="A174" s="12"/>
      <c r="B174" s="12"/>
      <c r="C174" s="12"/>
      <c r="D174" s="12"/>
      <c r="E174" s="12"/>
      <c r="F174" s="13"/>
      <c r="G174" s="13">
        <f>IF(OR(F174="",I174&lt;&gt;""),"",WORKDAY(F174,Dashboard!$B$22))</f>
      </c>
      <c r="H174" s="12">
        <f>IF(G174="","",IF(I174&lt;&gt;"","Replied",IF(G174&lt;=TODAY(),"DUE","Waiting")))</f>
      </c>
      <c r="I174" s="13"/>
      <c r="J174" s="12"/>
      <c r="K174" s="13"/>
      <c r="L174" s="16"/>
    </row>
    <row r="175" spans="1:12" x14ac:dyDescent="0.25">
      <c r="A175" s="12"/>
      <c r="B175" s="12"/>
      <c r="C175" s="12"/>
      <c r="D175" s="12"/>
      <c r="E175" s="12"/>
      <c r="F175" s="13"/>
      <c r="G175" s="13">
        <f>IF(OR(F175="",I175&lt;&gt;""),"",WORKDAY(F175,Dashboard!$B$22))</f>
      </c>
      <c r="H175" s="12">
        <f>IF(G175="","",IF(I175&lt;&gt;"","Replied",IF(G175&lt;=TODAY(),"DUE","Waiting")))</f>
      </c>
      <c r="I175" s="13"/>
      <c r="J175" s="12"/>
      <c r="K175" s="13"/>
      <c r="L175" s="16"/>
    </row>
    <row r="176" spans="1:12" x14ac:dyDescent="0.25">
      <c r="A176" s="12"/>
      <c r="B176" s="12"/>
      <c r="C176" s="12"/>
      <c r="D176" s="12"/>
      <c r="E176" s="12"/>
      <c r="F176" s="13"/>
      <c r="G176" s="13">
        <f>IF(OR(F176="",I176&lt;&gt;""),"",WORKDAY(F176,Dashboard!$B$22))</f>
      </c>
      <c r="H176" s="12">
        <f>IF(G176="","",IF(I176&lt;&gt;"","Replied",IF(G176&lt;=TODAY(),"DUE","Waiting")))</f>
      </c>
      <c r="I176" s="13"/>
      <c r="J176" s="12"/>
      <c r="K176" s="13"/>
      <c r="L176" s="16"/>
    </row>
    <row r="177" spans="1:12" x14ac:dyDescent="0.25">
      <c r="A177" s="12"/>
      <c r="B177" s="12"/>
      <c r="C177" s="12"/>
      <c r="D177" s="12"/>
      <c r="E177" s="12"/>
      <c r="F177" s="13"/>
      <c r="G177" s="13">
        <f>IF(OR(F177="",I177&lt;&gt;""),"",WORKDAY(F177,Dashboard!$B$22))</f>
      </c>
      <c r="H177" s="12">
        <f>IF(G177="","",IF(I177&lt;&gt;"","Replied",IF(G177&lt;=TODAY(),"DUE","Waiting")))</f>
      </c>
      <c r="I177" s="13"/>
      <c r="J177" s="12"/>
      <c r="K177" s="13"/>
      <c r="L177" s="16"/>
    </row>
    <row r="178" spans="1:12" x14ac:dyDescent="0.25">
      <c r="A178" s="12"/>
      <c r="B178" s="12"/>
      <c r="C178" s="12"/>
      <c r="D178" s="12"/>
      <c r="E178" s="12"/>
      <c r="F178" s="13"/>
      <c r="G178" s="13">
        <f>IF(OR(F178="",I178&lt;&gt;""),"",WORKDAY(F178,Dashboard!$B$22))</f>
      </c>
      <c r="H178" s="12">
        <f>IF(G178="","",IF(I178&lt;&gt;"","Replied",IF(G178&lt;=TODAY(),"DUE","Waiting")))</f>
      </c>
      <c r="I178" s="13"/>
      <c r="J178" s="12"/>
      <c r="K178" s="13"/>
      <c r="L178" s="16"/>
    </row>
    <row r="179" spans="1:12" x14ac:dyDescent="0.25">
      <c r="A179" s="12"/>
      <c r="B179" s="12"/>
      <c r="C179" s="12"/>
      <c r="D179" s="12"/>
      <c r="E179" s="12"/>
      <c r="F179" s="13"/>
      <c r="G179" s="13">
        <f>IF(OR(F179="",I179&lt;&gt;""),"",WORKDAY(F179,Dashboard!$B$22))</f>
      </c>
      <c r="H179" s="12">
        <f>IF(G179="","",IF(I179&lt;&gt;"","Replied",IF(G179&lt;=TODAY(),"DUE","Waiting")))</f>
      </c>
      <c r="I179" s="13"/>
      <c r="J179" s="12"/>
      <c r="K179" s="13"/>
      <c r="L179" s="16"/>
    </row>
    <row r="180" spans="1:12" x14ac:dyDescent="0.25">
      <c r="A180" s="12"/>
      <c r="B180" s="12"/>
      <c r="C180" s="12"/>
      <c r="D180" s="12"/>
      <c r="E180" s="12"/>
      <c r="F180" s="13"/>
      <c r="G180" s="13">
        <f>IF(OR(F180="",I180&lt;&gt;""),"",WORKDAY(F180,Dashboard!$B$22))</f>
      </c>
      <c r="H180" s="12">
        <f>IF(G180="","",IF(I180&lt;&gt;"","Replied",IF(G180&lt;=TODAY(),"DUE","Waiting")))</f>
      </c>
      <c r="I180" s="13"/>
      <c r="J180" s="12"/>
      <c r="K180" s="13"/>
      <c r="L180" s="16"/>
    </row>
    <row r="181" spans="1:12" x14ac:dyDescent="0.25">
      <c r="A181" s="12"/>
      <c r="B181" s="12"/>
      <c r="C181" s="12"/>
      <c r="D181" s="12"/>
      <c r="E181" s="12"/>
      <c r="F181" s="13"/>
      <c r="G181" s="13">
        <f>IF(OR(F181="",I181&lt;&gt;""),"",WORKDAY(F181,Dashboard!$B$22))</f>
      </c>
      <c r="H181" s="12">
        <f>IF(G181="","",IF(I181&lt;&gt;"","Replied",IF(G181&lt;=TODAY(),"DUE","Waiting")))</f>
      </c>
      <c r="I181" s="13"/>
      <c r="J181" s="12"/>
      <c r="K181" s="13"/>
      <c r="L181" s="16"/>
    </row>
    <row r="182" spans="1:12" x14ac:dyDescent="0.25">
      <c r="A182" s="12"/>
      <c r="B182" s="12"/>
      <c r="C182" s="12"/>
      <c r="D182" s="12"/>
      <c r="E182" s="12"/>
      <c r="F182" s="13"/>
      <c r="G182" s="13">
        <f>IF(OR(F182="",I182&lt;&gt;""),"",WORKDAY(F182,Dashboard!$B$22))</f>
      </c>
      <c r="H182" s="12">
        <f>IF(G182="","",IF(I182&lt;&gt;"","Replied",IF(G182&lt;=TODAY(),"DUE","Waiting")))</f>
      </c>
      <c r="I182" s="13"/>
      <c r="J182" s="12"/>
      <c r="K182" s="13"/>
      <c r="L182" s="16"/>
    </row>
    <row r="183" spans="1:12" x14ac:dyDescent="0.25">
      <c r="A183" s="12"/>
      <c r="B183" s="12"/>
      <c r="C183" s="12"/>
      <c r="D183" s="12"/>
      <c r="E183" s="12"/>
      <c r="F183" s="13"/>
      <c r="G183" s="13">
        <f>IF(OR(F183="",I183&lt;&gt;""),"",WORKDAY(F183,Dashboard!$B$22))</f>
      </c>
      <c r="H183" s="12">
        <f>IF(G183="","",IF(I183&lt;&gt;"","Replied",IF(G183&lt;=TODAY(),"DUE","Waiting")))</f>
      </c>
      <c r="I183" s="13"/>
      <c r="J183" s="12"/>
      <c r="K183" s="13"/>
      <c r="L183" s="16"/>
    </row>
    <row r="184" spans="1:12" x14ac:dyDescent="0.25">
      <c r="A184" s="12"/>
      <c r="B184" s="12"/>
      <c r="C184" s="12"/>
      <c r="D184" s="12"/>
      <c r="E184" s="12"/>
      <c r="F184" s="13"/>
      <c r="G184" s="13">
        <f>IF(OR(F184="",I184&lt;&gt;""),"",WORKDAY(F184,Dashboard!$B$22))</f>
      </c>
      <c r="H184" s="12">
        <f>IF(G184="","",IF(I184&lt;&gt;"","Replied",IF(G184&lt;=TODAY(),"DUE","Waiting")))</f>
      </c>
      <c r="I184" s="13"/>
      <c r="J184" s="12"/>
      <c r="K184" s="13"/>
      <c r="L184" s="16"/>
    </row>
    <row r="185" spans="1:12" x14ac:dyDescent="0.25">
      <c r="A185" s="12"/>
      <c r="B185" s="12"/>
      <c r="C185" s="12"/>
      <c r="D185" s="12"/>
      <c r="E185" s="12"/>
      <c r="F185" s="13"/>
      <c r="G185" s="13">
        <f>IF(OR(F185="",I185&lt;&gt;""),"",WORKDAY(F185,Dashboard!$B$22))</f>
      </c>
      <c r="H185" s="12">
        <f>IF(G185="","",IF(I185&lt;&gt;"","Replied",IF(G185&lt;=TODAY(),"DUE","Waiting")))</f>
      </c>
      <c r="I185" s="13"/>
      <c r="J185" s="12"/>
      <c r="K185" s="13"/>
      <c r="L185" s="16"/>
    </row>
    <row r="186" spans="1:12" x14ac:dyDescent="0.25">
      <c r="A186" s="12"/>
      <c r="B186" s="12"/>
      <c r="C186" s="12"/>
      <c r="D186" s="12"/>
      <c r="E186" s="12"/>
      <c r="F186" s="13"/>
      <c r="G186" s="13">
        <f>IF(OR(F186="",I186&lt;&gt;""),"",WORKDAY(F186,Dashboard!$B$22))</f>
      </c>
      <c r="H186" s="12">
        <f>IF(G186="","",IF(I186&lt;&gt;"","Replied",IF(G186&lt;=TODAY(),"DUE","Waiting")))</f>
      </c>
      <c r="I186" s="13"/>
      <c r="J186" s="12"/>
      <c r="K186" s="13"/>
      <c r="L186" s="16"/>
    </row>
    <row r="187" spans="1:12" x14ac:dyDescent="0.25">
      <c r="A187" s="12"/>
      <c r="B187" s="12"/>
      <c r="C187" s="12"/>
      <c r="D187" s="12"/>
      <c r="E187" s="12"/>
      <c r="F187" s="13"/>
      <c r="G187" s="13">
        <f>IF(OR(F187="",I187&lt;&gt;""),"",WORKDAY(F187,Dashboard!$B$22))</f>
      </c>
      <c r="H187" s="12">
        <f>IF(G187="","",IF(I187&lt;&gt;"","Replied",IF(G187&lt;=TODAY(),"DUE","Waiting")))</f>
      </c>
      <c r="I187" s="13"/>
      <c r="J187" s="12"/>
      <c r="K187" s="13"/>
      <c r="L187" s="16"/>
    </row>
    <row r="188" spans="1:12" x14ac:dyDescent="0.25">
      <c r="A188" s="12"/>
      <c r="B188" s="12"/>
      <c r="C188" s="12"/>
      <c r="D188" s="12"/>
      <c r="E188" s="12"/>
      <c r="F188" s="13"/>
      <c r="G188" s="13">
        <f>IF(OR(F188="",I188&lt;&gt;""),"",WORKDAY(F188,Dashboard!$B$22))</f>
      </c>
      <c r="H188" s="12">
        <f>IF(G188="","",IF(I188&lt;&gt;"","Replied",IF(G188&lt;=TODAY(),"DUE","Waiting")))</f>
      </c>
      <c r="I188" s="13"/>
      <c r="J188" s="12"/>
      <c r="K188" s="13"/>
      <c r="L188" s="16"/>
    </row>
    <row r="189" spans="1:12" x14ac:dyDescent="0.25">
      <c r="A189" s="12"/>
      <c r="B189" s="12"/>
      <c r="C189" s="12"/>
      <c r="D189" s="12"/>
      <c r="E189" s="12"/>
      <c r="F189" s="13"/>
      <c r="G189" s="13">
        <f>IF(OR(F189="",I189&lt;&gt;""),"",WORKDAY(F189,Dashboard!$B$22))</f>
      </c>
      <c r="H189" s="12">
        <f>IF(G189="","",IF(I189&lt;&gt;"","Replied",IF(G189&lt;=TODAY(),"DUE","Waiting")))</f>
      </c>
      <c r="I189" s="13"/>
      <c r="J189" s="12"/>
      <c r="K189" s="13"/>
      <c r="L189" s="16"/>
    </row>
    <row r="190" spans="1:12" x14ac:dyDescent="0.25">
      <c r="A190" s="12"/>
      <c r="B190" s="12"/>
      <c r="C190" s="12"/>
      <c r="D190" s="12"/>
      <c r="E190" s="12"/>
      <c r="F190" s="13"/>
      <c r="G190" s="13">
        <f>IF(OR(F190="",I190&lt;&gt;""),"",WORKDAY(F190,Dashboard!$B$22))</f>
      </c>
      <c r="H190" s="12">
        <f>IF(G190="","",IF(I190&lt;&gt;"","Replied",IF(G190&lt;=TODAY(),"DUE","Waiting")))</f>
      </c>
      <c r="I190" s="13"/>
      <c r="J190" s="12"/>
      <c r="K190" s="13"/>
      <c r="L190" s="16"/>
    </row>
    <row r="191" spans="1:12" x14ac:dyDescent="0.25">
      <c r="A191" s="12"/>
      <c r="B191" s="12"/>
      <c r="C191" s="12"/>
      <c r="D191" s="12"/>
      <c r="E191" s="12"/>
      <c r="F191" s="13"/>
      <c r="G191" s="13">
        <f>IF(OR(F191="",I191&lt;&gt;""),"",WORKDAY(F191,Dashboard!$B$22))</f>
      </c>
      <c r="H191" s="12">
        <f>IF(G191="","",IF(I191&lt;&gt;"","Replied",IF(G191&lt;=TODAY(),"DUE","Waiting")))</f>
      </c>
      <c r="I191" s="13"/>
      <c r="J191" s="12"/>
      <c r="K191" s="13"/>
      <c r="L191" s="16"/>
    </row>
    <row r="192" spans="1:12" x14ac:dyDescent="0.25">
      <c r="A192" s="12"/>
      <c r="B192" s="12"/>
      <c r="C192" s="12"/>
      <c r="D192" s="12"/>
      <c r="E192" s="12"/>
      <c r="F192" s="13"/>
      <c r="G192" s="13">
        <f>IF(OR(F192="",I192&lt;&gt;""),"",WORKDAY(F192,Dashboard!$B$22))</f>
      </c>
      <c r="H192" s="12">
        <f>IF(G192="","",IF(I192&lt;&gt;"","Replied",IF(G192&lt;=TODAY(),"DUE","Waiting")))</f>
      </c>
      <c r="I192" s="13"/>
      <c r="J192" s="12"/>
      <c r="K192" s="13"/>
      <c r="L192" s="16"/>
    </row>
    <row r="193" spans="1:12" x14ac:dyDescent="0.25">
      <c r="A193" s="12"/>
      <c r="B193" s="12"/>
      <c r="C193" s="12"/>
      <c r="D193" s="12"/>
      <c r="E193" s="12"/>
      <c r="F193" s="13"/>
      <c r="G193" s="13">
        <f>IF(OR(F193="",I193&lt;&gt;""),"",WORKDAY(F193,Dashboard!$B$22))</f>
      </c>
      <c r="H193" s="12">
        <f>IF(G193="","",IF(I193&lt;&gt;"","Replied",IF(G193&lt;=TODAY(),"DUE","Waiting")))</f>
      </c>
      <c r="I193" s="13"/>
      <c r="J193" s="12"/>
      <c r="K193" s="13"/>
      <c r="L193" s="16"/>
    </row>
    <row r="194" spans="1:12" x14ac:dyDescent="0.25">
      <c r="A194" s="12"/>
      <c r="B194" s="12"/>
      <c r="C194" s="12"/>
      <c r="D194" s="12"/>
      <c r="E194" s="12"/>
      <c r="F194" s="13"/>
      <c r="G194" s="13">
        <f>IF(OR(F194="",I194&lt;&gt;""),"",WORKDAY(F194,Dashboard!$B$22))</f>
      </c>
      <c r="H194" s="12">
        <f>IF(G194="","",IF(I194&lt;&gt;"","Replied",IF(G194&lt;=TODAY(),"DUE","Waiting")))</f>
      </c>
      <c r="I194" s="13"/>
      <c r="J194" s="12"/>
      <c r="K194" s="13"/>
      <c r="L194" s="16"/>
    </row>
    <row r="195" spans="1:12" x14ac:dyDescent="0.25">
      <c r="A195" s="12"/>
      <c r="B195" s="12"/>
      <c r="C195" s="12"/>
      <c r="D195" s="12"/>
      <c r="E195" s="12"/>
      <c r="F195" s="13"/>
      <c r="G195" s="13">
        <f>IF(OR(F195="",I195&lt;&gt;""),"",WORKDAY(F195,Dashboard!$B$22))</f>
      </c>
      <c r="H195" s="12">
        <f>IF(G195="","",IF(I195&lt;&gt;"","Replied",IF(G195&lt;=TODAY(),"DUE","Waiting")))</f>
      </c>
      <c r="I195" s="13"/>
      <c r="J195" s="12"/>
      <c r="K195" s="13"/>
      <c r="L195" s="16"/>
    </row>
    <row r="196" spans="1:12" x14ac:dyDescent="0.25">
      <c r="A196" s="12"/>
      <c r="B196" s="12"/>
      <c r="C196" s="12"/>
      <c r="D196" s="12"/>
      <c r="E196" s="12"/>
      <c r="F196" s="13"/>
      <c r="G196" s="13">
        <f>IF(OR(F196="",I196&lt;&gt;""),"",WORKDAY(F196,Dashboard!$B$22))</f>
      </c>
      <c r="H196" s="12">
        <f>IF(G196="","",IF(I196&lt;&gt;"","Replied",IF(G196&lt;=TODAY(),"DUE","Waiting")))</f>
      </c>
      <c r="I196" s="13"/>
      <c r="J196" s="12"/>
      <c r="K196" s="13"/>
      <c r="L196" s="16"/>
    </row>
    <row r="197" spans="1:12" x14ac:dyDescent="0.25">
      <c r="A197" s="12"/>
      <c r="B197" s="12"/>
      <c r="C197" s="12"/>
      <c r="D197" s="12"/>
      <c r="E197" s="12"/>
      <c r="F197" s="13"/>
      <c r="G197" s="13">
        <f>IF(OR(F197="",I197&lt;&gt;""),"",WORKDAY(F197,Dashboard!$B$22))</f>
      </c>
      <c r="H197" s="12">
        <f>IF(G197="","",IF(I197&lt;&gt;"","Replied",IF(G197&lt;=TODAY(),"DUE","Waiting")))</f>
      </c>
      <c r="I197" s="13"/>
      <c r="J197" s="12"/>
      <c r="K197" s="13"/>
      <c r="L197" s="16"/>
    </row>
    <row r="198" spans="1:12" x14ac:dyDescent="0.25">
      <c r="A198" s="12"/>
      <c r="B198" s="12"/>
      <c r="C198" s="12"/>
      <c r="D198" s="12"/>
      <c r="E198" s="12"/>
      <c r="F198" s="13"/>
      <c r="G198" s="13">
        <f>IF(OR(F198="",I198&lt;&gt;""),"",WORKDAY(F198,Dashboard!$B$22))</f>
      </c>
      <c r="H198" s="12">
        <f>IF(G198="","",IF(I198&lt;&gt;"","Replied",IF(G198&lt;=TODAY(),"DUE","Waiting")))</f>
      </c>
      <c r="I198" s="13"/>
      <c r="J198" s="12"/>
      <c r="K198" s="13"/>
      <c r="L198" s="16"/>
    </row>
    <row r="199" spans="1:12" x14ac:dyDescent="0.25">
      <c r="A199" s="12"/>
      <c r="B199" s="12"/>
      <c r="C199" s="12"/>
      <c r="D199" s="12"/>
      <c r="E199" s="12"/>
      <c r="F199" s="13"/>
      <c r="G199" s="13">
        <f>IF(OR(F199="",I199&lt;&gt;""),"",WORKDAY(F199,Dashboard!$B$22))</f>
      </c>
      <c r="H199" s="12">
        <f>IF(G199="","",IF(I199&lt;&gt;"","Replied",IF(G199&lt;=TODAY(),"DUE","Waiting")))</f>
      </c>
      <c r="I199" s="13"/>
      <c r="J199" s="12"/>
      <c r="K199" s="13"/>
      <c r="L199" s="16"/>
    </row>
    <row r="200" spans="1:12" x14ac:dyDescent="0.25">
      <c r="A200" s="12"/>
      <c r="B200" s="12"/>
      <c r="C200" s="12"/>
      <c r="D200" s="12"/>
      <c r="E200" s="12"/>
      <c r="F200" s="13"/>
      <c r="G200" s="13">
        <f>IF(OR(F200="",I200&lt;&gt;""),"",WORKDAY(F200,Dashboard!$B$22))</f>
      </c>
      <c r="H200" s="12">
        <f>IF(G200="","",IF(I200&lt;&gt;"","Replied",IF(G200&lt;=TODAY(),"DUE","Waiting")))</f>
      </c>
      <c r="I200" s="13"/>
      <c r="J200" s="12"/>
      <c r="K200" s="13"/>
      <c r="L200" s="16"/>
    </row>
    <row r="201" spans="1:12" x14ac:dyDescent="0.25">
      <c r="A201" s="12"/>
      <c r="B201" s="12"/>
      <c r="C201" s="12"/>
      <c r="D201" s="12"/>
      <c r="E201" s="12"/>
      <c r="F201" s="13"/>
      <c r="G201" s="13">
        <f>IF(OR(F201="",I201&lt;&gt;""),"",WORKDAY(F201,Dashboard!$B$22))</f>
      </c>
      <c r="H201" s="12">
        <f>IF(G201="","",IF(I201&lt;&gt;"","Replied",IF(G201&lt;=TODAY(),"DUE","Waiting")))</f>
      </c>
      <c r="I201" s="13"/>
      <c r="J201" s="12"/>
      <c r="K201" s="13"/>
      <c r="L201" s="16"/>
    </row>
    <row r="202" spans="1:12" x14ac:dyDescent="0.25">
      <c r="A202" s="12"/>
      <c r="B202" s="12"/>
      <c r="C202" s="12"/>
      <c r="D202" s="12"/>
      <c r="E202" s="12"/>
      <c r="F202" s="13"/>
      <c r="G202" s="13">
        <f>IF(OR(F202="",I202&lt;&gt;""),"",WORKDAY(F202,Dashboard!$B$22))</f>
      </c>
      <c r="H202" s="12">
        <f>IF(G202="","",IF(I202&lt;&gt;"","Replied",IF(G202&lt;=TODAY(),"DUE","Waiting")))</f>
      </c>
      <c r="I202" s="13"/>
      <c r="J202" s="12"/>
      <c r="K202" s="13"/>
      <c r="L202" s="16"/>
    </row>
    <row r="203" spans="1:12" x14ac:dyDescent="0.25">
      <c r="A203" s="12"/>
      <c r="B203" s="12"/>
      <c r="C203" s="12"/>
      <c r="D203" s="12"/>
      <c r="E203" s="12"/>
      <c r="F203" s="13"/>
      <c r="G203" s="13">
        <f>IF(OR(F203="",I203&lt;&gt;""),"",WORKDAY(F203,Dashboard!$B$22))</f>
      </c>
      <c r="H203" s="12">
        <f>IF(G203="","",IF(I203&lt;&gt;"","Replied",IF(G203&lt;=TODAY(),"DUE","Waiting")))</f>
      </c>
      <c r="I203" s="13"/>
      <c r="J203" s="12"/>
      <c r="K203" s="13"/>
      <c r="L203" s="16"/>
    </row>
    <row r="204" spans="1:12" x14ac:dyDescent="0.25">
      <c r="A204" s="12"/>
      <c r="B204" s="12"/>
      <c r="C204" s="12"/>
      <c r="D204" s="12"/>
      <c r="E204" s="12"/>
      <c r="F204" s="13"/>
      <c r="G204" s="13">
        <f>IF(OR(F204="",I204&lt;&gt;""),"",WORKDAY(F204,Dashboard!$B$22))</f>
      </c>
      <c r="H204" s="12">
        <f>IF(G204="","",IF(I204&lt;&gt;"","Replied",IF(G204&lt;=TODAY(),"DUE","Waiting")))</f>
      </c>
      <c r="I204" s="13"/>
      <c r="J204" s="12"/>
      <c r="K204" s="13"/>
      <c r="L204" s="16"/>
    </row>
    <row r="205" spans="1:12" x14ac:dyDescent="0.25">
      <c r="A205" s="12"/>
      <c r="B205" s="12"/>
      <c r="C205" s="12"/>
      <c r="D205" s="12"/>
      <c r="E205" s="12"/>
      <c r="F205" s="13"/>
      <c r="G205" s="13">
        <f>IF(OR(F205="",I205&lt;&gt;""),"",WORKDAY(F205,Dashboard!$B$22))</f>
      </c>
      <c r="H205" s="12">
        <f>IF(G205="","",IF(I205&lt;&gt;"","Replied",IF(G205&lt;=TODAY(),"DUE","Waiting")))</f>
      </c>
      <c r="I205" s="13"/>
      <c r="J205" s="12"/>
      <c r="K205" s="13"/>
      <c r="L205" s="16"/>
    </row>
    <row r="206" spans="1:12" x14ac:dyDescent="0.25">
      <c r="A206" s="12"/>
      <c r="B206" s="12"/>
      <c r="C206" s="12"/>
      <c r="D206" s="12"/>
      <c r="E206" s="12"/>
      <c r="F206" s="13"/>
      <c r="G206" s="13">
        <f>IF(OR(F206="",I206&lt;&gt;""),"",WORKDAY(F206,Dashboard!$B$22))</f>
      </c>
      <c r="H206" s="12">
        <f>IF(G206="","",IF(I206&lt;&gt;"","Replied",IF(G206&lt;=TODAY(),"DUE","Waiting")))</f>
      </c>
      <c r="I206" s="13"/>
      <c r="J206" s="12"/>
      <c r="K206" s="13"/>
      <c r="L206" s="16"/>
    </row>
    <row r="207" spans="1:12" x14ac:dyDescent="0.25">
      <c r="A207" s="12"/>
      <c r="B207" s="12"/>
      <c r="C207" s="12"/>
      <c r="D207" s="12"/>
      <c r="E207" s="12"/>
      <c r="F207" s="13"/>
      <c r="G207" s="13">
        <f>IF(OR(F207="",I207&lt;&gt;""),"",WORKDAY(F207,Dashboard!$B$22))</f>
      </c>
      <c r="H207" s="12">
        <f>IF(G207="","",IF(I207&lt;&gt;"","Replied",IF(G207&lt;=TODAY(),"DUE","Waiting")))</f>
      </c>
      <c r="I207" s="13"/>
      <c r="J207" s="12"/>
      <c r="K207" s="13"/>
      <c r="L207" s="16"/>
    </row>
    <row r="208" spans="1:12" x14ac:dyDescent="0.25">
      <c r="A208" s="12"/>
      <c r="B208" s="12"/>
      <c r="C208" s="12"/>
      <c r="D208" s="12"/>
      <c r="E208" s="12"/>
      <c r="F208" s="13"/>
      <c r="G208" s="13">
        <f>IF(OR(F208="",I208&lt;&gt;""),"",WORKDAY(F208,Dashboard!$B$22))</f>
      </c>
      <c r="H208" s="12">
        <f>IF(G208="","",IF(I208&lt;&gt;"","Replied",IF(G208&lt;=TODAY(),"DUE","Waiting")))</f>
      </c>
      <c r="I208" s="13"/>
      <c r="J208" s="12"/>
      <c r="K208" s="13"/>
      <c r="L208" s="16"/>
    </row>
    <row r="209" spans="1:12" x14ac:dyDescent="0.25">
      <c r="A209" s="12"/>
      <c r="B209" s="12"/>
      <c r="C209" s="12"/>
      <c r="D209" s="12"/>
      <c r="E209" s="12"/>
      <c r="F209" s="13"/>
      <c r="G209" s="13">
        <f>IF(OR(F209="",I209&lt;&gt;""),"",WORKDAY(F209,Dashboard!$B$22))</f>
      </c>
      <c r="H209" s="12">
        <f>IF(G209="","",IF(I209&lt;&gt;"","Replied",IF(G209&lt;=TODAY(),"DUE","Waiting")))</f>
      </c>
      <c r="I209" s="13"/>
      <c r="J209" s="12"/>
      <c r="K209" s="13"/>
      <c r="L209" s="16"/>
    </row>
    <row r="210" spans="1:12" x14ac:dyDescent="0.25">
      <c r="A210" s="12"/>
      <c r="B210" s="12"/>
      <c r="C210" s="12"/>
      <c r="D210" s="12"/>
      <c r="E210" s="12"/>
      <c r="F210" s="13"/>
      <c r="G210" s="13">
        <f>IF(OR(F210="",I210&lt;&gt;""),"",WORKDAY(F210,Dashboard!$B$22))</f>
      </c>
      <c r="H210" s="12">
        <f>IF(G210="","",IF(I210&lt;&gt;"","Replied",IF(G210&lt;=TODAY(),"DUE","Waiting")))</f>
      </c>
      <c r="I210" s="13"/>
      <c r="J210" s="12"/>
      <c r="K210" s="13"/>
      <c r="L210" s="16"/>
    </row>
    <row r="211" spans="1:12" x14ac:dyDescent="0.25">
      <c r="A211" s="12"/>
      <c r="B211" s="12"/>
      <c r="C211" s="12"/>
      <c r="D211" s="12"/>
      <c r="E211" s="12"/>
      <c r="F211" s="13"/>
      <c r="G211" s="13">
        <f>IF(OR(F211="",I211&lt;&gt;""),"",WORKDAY(F211,Dashboard!$B$22))</f>
      </c>
      <c r="H211" s="12">
        <f>IF(G211="","",IF(I211&lt;&gt;"","Replied",IF(G211&lt;=TODAY(),"DUE","Waiting")))</f>
      </c>
      <c r="I211" s="13"/>
      <c r="J211" s="12"/>
      <c r="K211" s="13"/>
      <c r="L211" s="16"/>
    </row>
    <row r="212" spans="1:12" x14ac:dyDescent="0.25">
      <c r="A212" s="12"/>
      <c r="B212" s="12"/>
      <c r="C212" s="12"/>
      <c r="D212" s="12"/>
      <c r="E212" s="12"/>
      <c r="F212" s="13"/>
      <c r="G212" s="13">
        <f>IF(OR(F212="",I212&lt;&gt;""),"",WORKDAY(F212,Dashboard!$B$22))</f>
      </c>
      <c r="H212" s="12">
        <f>IF(G212="","",IF(I212&lt;&gt;"","Replied",IF(G212&lt;=TODAY(),"DUE","Waiting")))</f>
      </c>
      <c r="I212" s="13"/>
      <c r="J212" s="12"/>
      <c r="K212" s="13"/>
      <c r="L212" s="16"/>
    </row>
    <row r="213" spans="1:12" x14ac:dyDescent="0.25">
      <c r="A213" s="12"/>
      <c r="B213" s="12"/>
      <c r="C213" s="12"/>
      <c r="D213" s="12"/>
      <c r="E213" s="12"/>
      <c r="F213" s="13"/>
      <c r="G213" s="13">
        <f>IF(OR(F213="",I213&lt;&gt;""),"",WORKDAY(F213,Dashboard!$B$22))</f>
      </c>
      <c r="H213" s="12">
        <f>IF(G213="","",IF(I213&lt;&gt;"","Replied",IF(G213&lt;=TODAY(),"DUE","Waiting")))</f>
      </c>
      <c r="I213" s="13"/>
      <c r="J213" s="12"/>
      <c r="K213" s="13"/>
      <c r="L213" s="16"/>
    </row>
    <row r="214" spans="1:12" x14ac:dyDescent="0.25">
      <c r="A214" s="12"/>
      <c r="B214" s="12"/>
      <c r="C214" s="12"/>
      <c r="D214" s="12"/>
      <c r="E214" s="12"/>
      <c r="F214" s="13"/>
      <c r="G214" s="13">
        <f>IF(OR(F214="",I214&lt;&gt;""),"",WORKDAY(F214,Dashboard!$B$22))</f>
      </c>
      <c r="H214" s="12">
        <f>IF(G214="","",IF(I214&lt;&gt;"","Replied",IF(G214&lt;=TODAY(),"DUE","Waiting")))</f>
      </c>
      <c r="I214" s="13"/>
      <c r="J214" s="12"/>
      <c r="K214" s="13"/>
      <c r="L214" s="16"/>
    </row>
    <row r="215" spans="1:12" x14ac:dyDescent="0.25">
      <c r="A215" s="12"/>
      <c r="B215" s="12"/>
      <c r="C215" s="12"/>
      <c r="D215" s="12"/>
      <c r="E215" s="12"/>
      <c r="F215" s="13"/>
      <c r="G215" s="13">
        <f>IF(OR(F215="",I215&lt;&gt;""),"",WORKDAY(F215,Dashboard!$B$22))</f>
      </c>
      <c r="H215" s="12">
        <f>IF(G215="","",IF(I215&lt;&gt;"","Replied",IF(G215&lt;=TODAY(),"DUE","Waiting")))</f>
      </c>
      <c r="I215" s="13"/>
      <c r="J215" s="12"/>
      <c r="K215" s="13"/>
      <c r="L215" s="16"/>
    </row>
    <row r="216" spans="1:12" x14ac:dyDescent="0.25">
      <c r="A216" s="12"/>
      <c r="B216" s="12"/>
      <c r="C216" s="12"/>
      <c r="D216" s="12"/>
      <c r="E216" s="12"/>
      <c r="F216" s="13"/>
      <c r="G216" s="13">
        <f>IF(OR(F216="",I216&lt;&gt;""),"",WORKDAY(F216,Dashboard!$B$22))</f>
      </c>
      <c r="H216" s="12">
        <f>IF(G216="","",IF(I216&lt;&gt;"","Replied",IF(G216&lt;=TODAY(),"DUE","Waiting")))</f>
      </c>
      <c r="I216" s="13"/>
      <c r="J216" s="12"/>
      <c r="K216" s="13"/>
      <c r="L216" s="16"/>
    </row>
    <row r="217" spans="1:12" x14ac:dyDescent="0.25">
      <c r="A217" s="12"/>
      <c r="B217" s="12"/>
      <c r="C217" s="12"/>
      <c r="D217" s="12"/>
      <c r="E217" s="12"/>
      <c r="F217" s="13"/>
      <c r="G217" s="13">
        <f>IF(OR(F217="",I217&lt;&gt;""),"",WORKDAY(F217,Dashboard!$B$22))</f>
      </c>
      <c r="H217" s="12">
        <f>IF(G217="","",IF(I217&lt;&gt;"","Replied",IF(G217&lt;=TODAY(),"DUE","Waiting")))</f>
      </c>
      <c r="I217" s="13"/>
      <c r="J217" s="12"/>
      <c r="K217" s="13"/>
      <c r="L217" s="16"/>
    </row>
    <row r="218" spans="1:12" x14ac:dyDescent="0.25">
      <c r="A218" s="12"/>
      <c r="B218" s="12"/>
      <c r="C218" s="12"/>
      <c r="D218" s="12"/>
      <c r="E218" s="12"/>
      <c r="F218" s="13"/>
      <c r="G218" s="13">
        <f>IF(OR(F218="",I218&lt;&gt;""),"",WORKDAY(F218,Dashboard!$B$22))</f>
      </c>
      <c r="H218" s="12">
        <f>IF(G218="","",IF(I218&lt;&gt;"","Replied",IF(G218&lt;=TODAY(),"DUE","Waiting")))</f>
      </c>
      <c r="I218" s="13"/>
      <c r="J218" s="12"/>
      <c r="K218" s="13"/>
      <c r="L218" s="16"/>
    </row>
    <row r="219" spans="1:12" x14ac:dyDescent="0.25">
      <c r="A219" s="12"/>
      <c r="B219" s="12"/>
      <c r="C219" s="12"/>
      <c r="D219" s="12"/>
      <c r="E219" s="12"/>
      <c r="F219" s="13"/>
      <c r="G219" s="13">
        <f>IF(OR(F219="",I219&lt;&gt;""),"",WORKDAY(F219,Dashboard!$B$22))</f>
      </c>
      <c r="H219" s="12">
        <f>IF(G219="","",IF(I219&lt;&gt;"","Replied",IF(G219&lt;=TODAY(),"DUE","Waiting")))</f>
      </c>
      <c r="I219" s="13"/>
      <c r="J219" s="12"/>
      <c r="K219" s="13"/>
      <c r="L219" s="16"/>
    </row>
    <row r="220" spans="1:12" x14ac:dyDescent="0.25">
      <c r="A220" s="12"/>
      <c r="B220" s="12"/>
      <c r="C220" s="12"/>
      <c r="D220" s="12"/>
      <c r="E220" s="12"/>
      <c r="F220" s="13"/>
      <c r="G220" s="13">
        <f>IF(OR(F220="",I220&lt;&gt;""),"",WORKDAY(F220,Dashboard!$B$22))</f>
      </c>
      <c r="H220" s="12">
        <f>IF(G220="","",IF(I220&lt;&gt;"","Replied",IF(G220&lt;=TODAY(),"DUE","Waiting")))</f>
      </c>
      <c r="I220" s="13"/>
      <c r="J220" s="12"/>
      <c r="K220" s="13"/>
      <c r="L220" s="16"/>
    </row>
    <row r="221" spans="1:12" x14ac:dyDescent="0.25">
      <c r="A221" s="12"/>
      <c r="B221" s="12"/>
      <c r="C221" s="12"/>
      <c r="D221" s="12"/>
      <c r="E221" s="12"/>
      <c r="F221" s="13"/>
      <c r="G221" s="13">
        <f>IF(OR(F221="",I221&lt;&gt;""),"",WORKDAY(F221,Dashboard!$B$22))</f>
      </c>
      <c r="H221" s="12">
        <f>IF(G221="","",IF(I221&lt;&gt;"","Replied",IF(G221&lt;=TODAY(),"DUE","Waiting")))</f>
      </c>
      <c r="I221" s="13"/>
      <c r="J221" s="12"/>
      <c r="K221" s="13"/>
      <c r="L221" s="16"/>
    </row>
    <row r="222" spans="1:12" x14ac:dyDescent="0.25">
      <c r="A222" s="12"/>
      <c r="B222" s="12"/>
      <c r="C222" s="12"/>
      <c r="D222" s="12"/>
      <c r="E222" s="12"/>
      <c r="F222" s="13"/>
      <c r="G222" s="13">
        <f>IF(OR(F222="",I222&lt;&gt;""),"",WORKDAY(F222,Dashboard!$B$22))</f>
      </c>
      <c r="H222" s="12">
        <f>IF(G222="","",IF(I222&lt;&gt;"","Replied",IF(G222&lt;=TODAY(),"DUE","Waiting")))</f>
      </c>
      <c r="I222" s="13"/>
      <c r="J222" s="12"/>
      <c r="K222" s="13"/>
      <c r="L222" s="16"/>
    </row>
    <row r="223" spans="1:12" x14ac:dyDescent="0.25">
      <c r="A223" s="12"/>
      <c r="B223" s="12"/>
      <c r="C223" s="12"/>
      <c r="D223" s="12"/>
      <c r="E223" s="12"/>
      <c r="F223" s="13"/>
      <c r="G223" s="13">
        <f>IF(OR(F223="",I223&lt;&gt;""),"",WORKDAY(F223,Dashboard!$B$22))</f>
      </c>
      <c r="H223" s="12">
        <f>IF(G223="","",IF(I223&lt;&gt;"","Replied",IF(G223&lt;=TODAY(),"DUE","Waiting")))</f>
      </c>
      <c r="I223" s="13"/>
      <c r="J223" s="12"/>
      <c r="K223" s="13"/>
      <c r="L223" s="16"/>
    </row>
    <row r="224" spans="1:12" x14ac:dyDescent="0.25">
      <c r="A224" s="12"/>
      <c r="B224" s="12"/>
      <c r="C224" s="12"/>
      <c r="D224" s="12"/>
      <c r="E224" s="12"/>
      <c r="F224" s="13"/>
      <c r="G224" s="13">
        <f>IF(OR(F224="",I224&lt;&gt;""),"",WORKDAY(F224,Dashboard!$B$22))</f>
      </c>
      <c r="H224" s="12">
        <f>IF(G224="","",IF(I224&lt;&gt;"","Replied",IF(G224&lt;=TODAY(),"DUE","Waiting")))</f>
      </c>
      <c r="I224" s="13"/>
      <c r="J224" s="12"/>
      <c r="K224" s="13"/>
      <c r="L224" s="16"/>
    </row>
    <row r="225" spans="1:12" x14ac:dyDescent="0.25">
      <c r="A225" s="12"/>
      <c r="B225" s="12"/>
      <c r="C225" s="12"/>
      <c r="D225" s="12"/>
      <c r="E225" s="12"/>
      <c r="F225" s="13"/>
      <c r="G225" s="13">
        <f>IF(OR(F225="",I225&lt;&gt;""),"",WORKDAY(F225,Dashboard!$B$22))</f>
      </c>
      <c r="H225" s="12">
        <f>IF(G225="","",IF(I225&lt;&gt;"","Replied",IF(G225&lt;=TODAY(),"DUE","Waiting")))</f>
      </c>
      <c r="I225" s="13"/>
      <c r="J225" s="12"/>
      <c r="K225" s="13"/>
      <c r="L225" s="16"/>
    </row>
    <row r="226" spans="1:12" x14ac:dyDescent="0.25">
      <c r="A226" s="12"/>
      <c r="B226" s="12"/>
      <c r="C226" s="12"/>
      <c r="D226" s="12"/>
      <c r="E226" s="12"/>
      <c r="F226" s="13"/>
      <c r="G226" s="13">
        <f>IF(OR(F226="",I226&lt;&gt;""),"",WORKDAY(F226,Dashboard!$B$22))</f>
      </c>
      <c r="H226" s="12">
        <f>IF(G226="","",IF(I226&lt;&gt;"","Replied",IF(G226&lt;=TODAY(),"DUE","Waiting")))</f>
      </c>
      <c r="I226" s="13"/>
      <c r="J226" s="12"/>
      <c r="K226" s="13"/>
      <c r="L226" s="16"/>
    </row>
    <row r="227" spans="1:12" x14ac:dyDescent="0.25">
      <c r="A227" s="12"/>
      <c r="B227" s="12"/>
      <c r="C227" s="12"/>
      <c r="D227" s="12"/>
      <c r="E227" s="12"/>
      <c r="F227" s="13"/>
      <c r="G227" s="13">
        <f>IF(OR(F227="",I227&lt;&gt;""),"",WORKDAY(F227,Dashboard!$B$22))</f>
      </c>
      <c r="H227" s="12">
        <f>IF(G227="","",IF(I227&lt;&gt;"","Replied",IF(G227&lt;=TODAY(),"DUE","Waiting")))</f>
      </c>
      <c r="I227" s="13"/>
      <c r="J227" s="12"/>
      <c r="K227" s="13"/>
      <c r="L227" s="16"/>
    </row>
    <row r="228" spans="1:12" x14ac:dyDescent="0.25">
      <c r="A228" s="12"/>
      <c r="B228" s="12"/>
      <c r="C228" s="12"/>
      <c r="D228" s="12"/>
      <c r="E228" s="12"/>
      <c r="F228" s="13"/>
      <c r="G228" s="13">
        <f>IF(OR(F228="",I228&lt;&gt;""),"",WORKDAY(F228,Dashboard!$B$22))</f>
      </c>
      <c r="H228" s="12">
        <f>IF(G228="","",IF(I228&lt;&gt;"","Replied",IF(G228&lt;=TODAY(),"DUE","Waiting")))</f>
      </c>
      <c r="I228" s="13"/>
      <c r="J228" s="12"/>
      <c r="K228" s="13"/>
      <c r="L228" s="16"/>
    </row>
    <row r="229" spans="1:12" x14ac:dyDescent="0.25">
      <c r="A229" s="12"/>
      <c r="B229" s="12"/>
      <c r="C229" s="12"/>
      <c r="D229" s="12"/>
      <c r="E229" s="12"/>
      <c r="F229" s="13"/>
      <c r="G229" s="13">
        <f>IF(OR(F229="",I229&lt;&gt;""),"",WORKDAY(F229,Dashboard!$B$22))</f>
      </c>
      <c r="H229" s="12">
        <f>IF(G229="","",IF(I229&lt;&gt;"","Replied",IF(G229&lt;=TODAY(),"DUE","Waiting")))</f>
      </c>
      <c r="I229" s="13"/>
      <c r="J229" s="12"/>
      <c r="K229" s="13"/>
      <c r="L229" s="16"/>
    </row>
    <row r="230" spans="1:12" x14ac:dyDescent="0.25">
      <c r="A230" s="12"/>
      <c r="B230" s="12"/>
      <c r="C230" s="12"/>
      <c r="D230" s="12"/>
      <c r="E230" s="12"/>
      <c r="F230" s="13"/>
      <c r="G230" s="13">
        <f>IF(OR(F230="",I230&lt;&gt;""),"",WORKDAY(F230,Dashboard!$B$22))</f>
      </c>
      <c r="H230" s="12">
        <f>IF(G230="","",IF(I230&lt;&gt;"","Replied",IF(G230&lt;=TODAY(),"DUE","Waiting")))</f>
      </c>
      <c r="I230" s="13"/>
      <c r="J230" s="12"/>
      <c r="K230" s="13"/>
      <c r="L230" s="16"/>
    </row>
    <row r="231" spans="1:12" x14ac:dyDescent="0.25">
      <c r="A231" s="12"/>
      <c r="B231" s="12"/>
      <c r="C231" s="12"/>
      <c r="D231" s="12"/>
      <c r="E231" s="12"/>
      <c r="F231" s="13"/>
      <c r="G231" s="13">
        <f>IF(OR(F231="",I231&lt;&gt;""),"",WORKDAY(F231,Dashboard!$B$22))</f>
      </c>
      <c r="H231" s="12">
        <f>IF(G231="","",IF(I231&lt;&gt;"","Replied",IF(G231&lt;=TODAY(),"DUE","Waiting")))</f>
      </c>
      <c r="I231" s="13"/>
      <c r="J231" s="12"/>
      <c r="K231" s="13"/>
      <c r="L231" s="16"/>
    </row>
    <row r="232" spans="1:12" x14ac:dyDescent="0.25">
      <c r="A232" s="12"/>
      <c r="B232" s="12"/>
      <c r="C232" s="12"/>
      <c r="D232" s="12"/>
      <c r="E232" s="12"/>
      <c r="F232" s="13"/>
      <c r="G232" s="13">
        <f>IF(OR(F232="",I232&lt;&gt;""),"",WORKDAY(F232,Dashboard!$B$22))</f>
      </c>
      <c r="H232" s="12">
        <f>IF(G232="","",IF(I232&lt;&gt;"","Replied",IF(G232&lt;=TODAY(),"DUE","Waiting")))</f>
      </c>
      <c r="I232" s="13"/>
      <c r="J232" s="12"/>
      <c r="K232" s="13"/>
      <c r="L232" s="16"/>
    </row>
    <row r="233" spans="1:12" x14ac:dyDescent="0.25">
      <c r="A233" s="12"/>
      <c r="B233" s="12"/>
      <c r="C233" s="12"/>
      <c r="D233" s="12"/>
      <c r="E233" s="12"/>
      <c r="F233" s="13"/>
      <c r="G233" s="13">
        <f>IF(OR(F233="",I233&lt;&gt;""),"",WORKDAY(F233,Dashboard!$B$22))</f>
      </c>
      <c r="H233" s="12">
        <f>IF(G233="","",IF(I233&lt;&gt;"","Replied",IF(G233&lt;=TODAY(),"DUE","Waiting")))</f>
      </c>
      <c r="I233" s="13"/>
      <c r="J233" s="12"/>
      <c r="K233" s="13"/>
      <c r="L233" s="16"/>
    </row>
    <row r="234" spans="1:12" x14ac:dyDescent="0.25">
      <c r="A234" s="12"/>
      <c r="B234" s="12"/>
      <c r="C234" s="12"/>
      <c r="D234" s="12"/>
      <c r="E234" s="12"/>
      <c r="F234" s="13"/>
      <c r="G234" s="13">
        <f>IF(OR(F234="",I234&lt;&gt;""),"",WORKDAY(F234,Dashboard!$B$22))</f>
      </c>
      <c r="H234" s="12">
        <f>IF(G234="","",IF(I234&lt;&gt;"","Replied",IF(G234&lt;=TODAY(),"DUE","Waiting")))</f>
      </c>
      <c r="I234" s="13"/>
      <c r="J234" s="12"/>
      <c r="K234" s="13"/>
      <c r="L234" s="16"/>
    </row>
    <row r="235" spans="1:12" x14ac:dyDescent="0.25">
      <c r="A235" s="12"/>
      <c r="B235" s="12"/>
      <c r="C235" s="12"/>
      <c r="D235" s="12"/>
      <c r="E235" s="12"/>
      <c r="F235" s="13"/>
      <c r="G235" s="13">
        <f>IF(OR(F235="",I235&lt;&gt;""),"",WORKDAY(F235,Dashboard!$B$22))</f>
      </c>
      <c r="H235" s="12">
        <f>IF(G235="","",IF(I235&lt;&gt;"","Replied",IF(G235&lt;=TODAY(),"DUE","Waiting")))</f>
      </c>
      <c r="I235" s="13"/>
      <c r="J235" s="12"/>
      <c r="K235" s="13"/>
      <c r="L235" s="16"/>
    </row>
    <row r="236" spans="1:12" x14ac:dyDescent="0.25">
      <c r="A236" s="12"/>
      <c r="B236" s="12"/>
      <c r="C236" s="12"/>
      <c r="D236" s="12"/>
      <c r="E236" s="12"/>
      <c r="F236" s="13"/>
      <c r="G236" s="13">
        <f>IF(OR(F236="",I236&lt;&gt;""),"",WORKDAY(F236,Dashboard!$B$22))</f>
      </c>
      <c r="H236" s="12">
        <f>IF(G236="","",IF(I236&lt;&gt;"","Replied",IF(G236&lt;=TODAY(),"DUE","Waiting")))</f>
      </c>
      <c r="I236" s="13"/>
      <c r="J236" s="12"/>
      <c r="K236" s="13"/>
      <c r="L236" s="16"/>
    </row>
    <row r="237" spans="1:12" x14ac:dyDescent="0.25">
      <c r="A237" s="12"/>
      <c r="B237" s="12"/>
      <c r="C237" s="12"/>
      <c r="D237" s="12"/>
      <c r="E237" s="12"/>
      <c r="F237" s="13"/>
      <c r="G237" s="13">
        <f>IF(OR(F237="",I237&lt;&gt;""),"",WORKDAY(F237,Dashboard!$B$22))</f>
      </c>
      <c r="H237" s="12">
        <f>IF(G237="","",IF(I237&lt;&gt;"","Replied",IF(G237&lt;=TODAY(),"DUE","Waiting")))</f>
      </c>
      <c r="I237" s="13"/>
      <c r="J237" s="12"/>
      <c r="K237" s="13"/>
      <c r="L237" s="16"/>
    </row>
    <row r="238" spans="1:12" x14ac:dyDescent="0.25">
      <c r="A238" s="12"/>
      <c r="B238" s="12"/>
      <c r="C238" s="12"/>
      <c r="D238" s="12"/>
      <c r="E238" s="12"/>
      <c r="F238" s="13"/>
      <c r="G238" s="13">
        <f>IF(OR(F238="",I238&lt;&gt;""),"",WORKDAY(F238,Dashboard!$B$22))</f>
      </c>
      <c r="H238" s="12">
        <f>IF(G238="","",IF(I238&lt;&gt;"","Replied",IF(G238&lt;=TODAY(),"DUE","Waiting")))</f>
      </c>
      <c r="I238" s="13"/>
      <c r="J238" s="12"/>
      <c r="K238" s="13"/>
      <c r="L238" s="16"/>
    </row>
    <row r="239" spans="1:12" x14ac:dyDescent="0.25">
      <c r="A239" s="12"/>
      <c r="B239" s="12"/>
      <c r="C239" s="12"/>
      <c r="D239" s="12"/>
      <c r="E239" s="12"/>
      <c r="F239" s="13"/>
      <c r="G239" s="13">
        <f>IF(OR(F239="",I239&lt;&gt;""),"",WORKDAY(F239,Dashboard!$B$22))</f>
      </c>
      <c r="H239" s="12">
        <f>IF(G239="","",IF(I239&lt;&gt;"","Replied",IF(G239&lt;=TODAY(),"DUE","Waiting")))</f>
      </c>
      <c r="I239" s="13"/>
      <c r="J239" s="12"/>
      <c r="K239" s="13"/>
      <c r="L239" s="16"/>
    </row>
    <row r="240" spans="1:12" x14ac:dyDescent="0.25">
      <c r="A240" s="12"/>
      <c r="B240" s="12"/>
      <c r="C240" s="12"/>
      <c r="D240" s="12"/>
      <c r="E240" s="12"/>
      <c r="F240" s="13"/>
      <c r="G240" s="13">
        <f>IF(OR(F240="",I240&lt;&gt;""),"",WORKDAY(F240,Dashboard!$B$22))</f>
      </c>
      <c r="H240" s="12">
        <f>IF(G240="","",IF(I240&lt;&gt;"","Replied",IF(G240&lt;=TODAY(),"DUE","Waiting")))</f>
      </c>
      <c r="I240" s="13"/>
      <c r="J240" s="12"/>
      <c r="K240" s="13"/>
      <c r="L240" s="16"/>
    </row>
    <row r="241" spans="1:12" x14ac:dyDescent="0.25">
      <c r="A241" s="12"/>
      <c r="B241" s="12"/>
      <c r="C241" s="12"/>
      <c r="D241" s="12"/>
      <c r="E241" s="12"/>
      <c r="F241" s="13"/>
      <c r="G241" s="13">
        <f>IF(OR(F241="",I241&lt;&gt;""),"",WORKDAY(F241,Dashboard!$B$22))</f>
      </c>
      <c r="H241" s="12">
        <f>IF(G241="","",IF(I241&lt;&gt;"","Replied",IF(G241&lt;=TODAY(),"DUE","Waiting")))</f>
      </c>
      <c r="I241" s="13"/>
      <c r="J241" s="12"/>
      <c r="K241" s="13"/>
      <c r="L241" s="16"/>
    </row>
    <row r="242" spans="1:12" x14ac:dyDescent="0.25">
      <c r="A242" s="12"/>
      <c r="B242" s="12"/>
      <c r="C242" s="12"/>
      <c r="D242" s="12"/>
      <c r="E242" s="12"/>
      <c r="F242" s="13"/>
      <c r="G242" s="13">
        <f>IF(OR(F242="",I242&lt;&gt;""),"",WORKDAY(F242,Dashboard!$B$22))</f>
      </c>
      <c r="H242" s="12">
        <f>IF(G242="","",IF(I242&lt;&gt;"","Replied",IF(G242&lt;=TODAY(),"DUE","Waiting")))</f>
      </c>
      <c r="I242" s="13"/>
      <c r="J242" s="12"/>
      <c r="K242" s="13"/>
      <c r="L242" s="16"/>
    </row>
    <row r="243" spans="1:12" x14ac:dyDescent="0.25">
      <c r="A243" s="12"/>
      <c r="B243" s="12"/>
      <c r="C243" s="12"/>
      <c r="D243" s="12"/>
      <c r="E243" s="12"/>
      <c r="F243" s="13"/>
      <c r="G243" s="13">
        <f>IF(OR(F243="",I243&lt;&gt;""),"",WORKDAY(F243,Dashboard!$B$22))</f>
      </c>
      <c r="H243" s="12">
        <f>IF(G243="","",IF(I243&lt;&gt;"","Replied",IF(G243&lt;=TODAY(),"DUE","Waiting")))</f>
      </c>
      <c r="I243" s="13"/>
      <c r="J243" s="12"/>
      <c r="K243" s="13"/>
      <c r="L243" s="16"/>
    </row>
    <row r="244" spans="1:12" x14ac:dyDescent="0.25">
      <c r="A244" s="12"/>
      <c r="B244" s="12"/>
      <c r="C244" s="12"/>
      <c r="D244" s="12"/>
      <c r="E244" s="12"/>
      <c r="F244" s="13"/>
      <c r="G244" s="13">
        <f>IF(OR(F244="",I244&lt;&gt;""),"",WORKDAY(F244,Dashboard!$B$22))</f>
      </c>
      <c r="H244" s="12">
        <f>IF(G244="","",IF(I244&lt;&gt;"","Replied",IF(G244&lt;=TODAY(),"DUE","Waiting")))</f>
      </c>
      <c r="I244" s="13"/>
      <c r="J244" s="12"/>
      <c r="K244" s="13"/>
      <c r="L244" s="16"/>
    </row>
    <row r="245" spans="1:12" x14ac:dyDescent="0.25">
      <c r="A245" s="12"/>
      <c r="B245" s="12"/>
      <c r="C245" s="12"/>
      <c r="D245" s="12"/>
      <c r="E245" s="12"/>
      <c r="F245" s="13"/>
      <c r="G245" s="13">
        <f>IF(OR(F245="",I245&lt;&gt;""),"",WORKDAY(F245,Dashboard!$B$22))</f>
      </c>
      <c r="H245" s="12">
        <f>IF(G245="","",IF(I245&lt;&gt;"","Replied",IF(G245&lt;=TODAY(),"DUE","Waiting")))</f>
      </c>
      <c r="I245" s="13"/>
      <c r="J245" s="12"/>
      <c r="K245" s="13"/>
      <c r="L245" s="16"/>
    </row>
    <row r="246" spans="1:12" x14ac:dyDescent="0.25">
      <c r="A246" s="12"/>
      <c r="B246" s="12"/>
      <c r="C246" s="12"/>
      <c r="D246" s="12"/>
      <c r="E246" s="12"/>
      <c r="F246" s="13"/>
      <c r="G246" s="13">
        <f>IF(OR(F246="",I246&lt;&gt;""),"",WORKDAY(F246,Dashboard!$B$22))</f>
      </c>
      <c r="H246" s="12">
        <f>IF(G246="","",IF(I246&lt;&gt;"","Replied",IF(G246&lt;=TODAY(),"DUE","Waiting")))</f>
      </c>
      <c r="I246" s="13"/>
      <c r="J246" s="12"/>
      <c r="K246" s="13"/>
      <c r="L246" s="16"/>
    </row>
    <row r="247" spans="1:12" x14ac:dyDescent="0.25">
      <c r="A247" s="12"/>
      <c r="B247" s="12"/>
      <c r="C247" s="12"/>
      <c r="D247" s="12"/>
      <c r="E247" s="12"/>
      <c r="F247" s="13"/>
      <c r="G247" s="13">
        <f>IF(OR(F247="",I247&lt;&gt;""),"",WORKDAY(F247,Dashboard!$B$22))</f>
      </c>
      <c r="H247" s="12">
        <f>IF(G247="","",IF(I247&lt;&gt;"","Replied",IF(G247&lt;=TODAY(),"DUE","Waiting")))</f>
      </c>
      <c r="I247" s="13"/>
      <c r="J247" s="12"/>
      <c r="K247" s="13"/>
      <c r="L247" s="16"/>
    </row>
    <row r="248" spans="1:12" x14ac:dyDescent="0.25">
      <c r="A248" s="12"/>
      <c r="B248" s="12"/>
      <c r="C248" s="12"/>
      <c r="D248" s="12"/>
      <c r="E248" s="12"/>
      <c r="F248" s="13"/>
      <c r="G248" s="13">
        <f>IF(OR(F248="",I248&lt;&gt;""),"",WORKDAY(F248,Dashboard!$B$22))</f>
      </c>
      <c r="H248" s="12">
        <f>IF(G248="","",IF(I248&lt;&gt;"","Replied",IF(G248&lt;=TODAY(),"DUE","Waiting")))</f>
      </c>
      <c r="I248" s="13"/>
      <c r="J248" s="12"/>
      <c r="K248" s="13"/>
      <c r="L248" s="16"/>
    </row>
    <row r="249" spans="1:12" x14ac:dyDescent="0.25">
      <c r="A249" s="12"/>
      <c r="B249" s="12"/>
      <c r="C249" s="12"/>
      <c r="D249" s="12"/>
      <c r="E249" s="12"/>
      <c r="F249" s="13"/>
      <c r="G249" s="13">
        <f>IF(OR(F249="",I249&lt;&gt;""),"",WORKDAY(F249,Dashboard!$B$22))</f>
      </c>
      <c r="H249" s="12">
        <f>IF(G249="","",IF(I249&lt;&gt;"","Replied",IF(G249&lt;=TODAY(),"DUE","Waiting")))</f>
      </c>
      <c r="I249" s="13"/>
      <c r="J249" s="12"/>
      <c r="K249" s="13"/>
      <c r="L249" s="16"/>
    </row>
    <row r="250" spans="1:12" x14ac:dyDescent="0.25">
      <c r="A250" s="12"/>
      <c r="B250" s="12"/>
      <c r="C250" s="12"/>
      <c r="D250" s="12"/>
      <c r="E250" s="12"/>
      <c r="F250" s="13"/>
      <c r="G250" s="13">
        <f>IF(OR(F250="",I250&lt;&gt;""),"",WORKDAY(F250,Dashboard!$B$22))</f>
      </c>
      <c r="H250" s="12">
        <f>IF(G250="","",IF(I250&lt;&gt;"","Replied",IF(G250&lt;=TODAY(),"DUE","Waiting")))</f>
      </c>
      <c r="I250" s="13"/>
      <c r="J250" s="12"/>
      <c r="K250" s="13"/>
      <c r="L250" s="16"/>
    </row>
    <row r="251" spans="1:12" x14ac:dyDescent="0.25">
      <c r="A251" s="12"/>
      <c r="B251" s="12"/>
      <c r="C251" s="12"/>
      <c r="D251" s="12"/>
      <c r="E251" s="12"/>
      <c r="F251" s="13"/>
      <c r="G251" s="13">
        <f>IF(OR(F251="",I251&lt;&gt;""),"",WORKDAY(F251,Dashboard!$B$22))</f>
      </c>
      <c r="H251" s="12">
        <f>IF(G251="","",IF(I251&lt;&gt;"","Replied",IF(G251&lt;=TODAY(),"DUE","Waiting")))</f>
      </c>
      <c r="I251" s="13"/>
      <c r="J251" s="12"/>
      <c r="K251" s="13"/>
      <c r="L251" s="16"/>
    </row>
    <row r="252" spans="1:12" x14ac:dyDescent="0.25">
      <c r="A252" s="12"/>
      <c r="B252" s="12"/>
      <c r="C252" s="12"/>
      <c r="D252" s="12"/>
      <c r="E252" s="12"/>
      <c r="F252" s="13"/>
      <c r="G252" s="13">
        <f>IF(OR(F252="",I252&lt;&gt;""),"",WORKDAY(F252,Dashboard!$B$22))</f>
      </c>
      <c r="H252" s="12">
        <f>IF(G252="","",IF(I252&lt;&gt;"","Replied",IF(G252&lt;=TODAY(),"DUE","Waiting")))</f>
      </c>
      <c r="I252" s="13"/>
      <c r="J252" s="12"/>
      <c r="K252" s="13"/>
      <c r="L252" s="16"/>
    </row>
    <row r="253" spans="1:12" x14ac:dyDescent="0.25">
      <c r="A253" s="12"/>
      <c r="B253" s="12"/>
      <c r="C253" s="12"/>
      <c r="D253" s="12"/>
      <c r="E253" s="12"/>
      <c r="F253" s="13"/>
      <c r="G253" s="13">
        <f>IF(OR(F253="",I253&lt;&gt;""),"",WORKDAY(F253,Dashboard!$B$22))</f>
      </c>
      <c r="H253" s="12">
        <f>IF(G253="","",IF(I253&lt;&gt;"","Replied",IF(G253&lt;=TODAY(),"DUE","Waiting")))</f>
      </c>
      <c r="I253" s="13"/>
      <c r="J253" s="12"/>
      <c r="K253" s="13"/>
      <c r="L253" s="16"/>
    </row>
    <row r="254" spans="1:12" x14ac:dyDescent="0.25">
      <c r="A254" s="12"/>
      <c r="B254" s="12"/>
      <c r="C254" s="12"/>
      <c r="D254" s="12"/>
      <c r="E254" s="12"/>
      <c r="F254" s="13"/>
      <c r="G254" s="13">
        <f>IF(OR(F254="",I254&lt;&gt;""),"",WORKDAY(F254,Dashboard!$B$22))</f>
      </c>
      <c r="H254" s="12">
        <f>IF(G254="","",IF(I254&lt;&gt;"","Replied",IF(G254&lt;=TODAY(),"DUE","Waiting")))</f>
      </c>
      <c r="I254" s="13"/>
      <c r="J254" s="12"/>
      <c r="K254" s="13"/>
      <c r="L254" s="16"/>
    </row>
    <row r="255" spans="1:12" x14ac:dyDescent="0.25">
      <c r="A255" s="12"/>
      <c r="B255" s="12"/>
      <c r="C255" s="12"/>
      <c r="D255" s="12"/>
      <c r="E255" s="12"/>
      <c r="F255" s="13"/>
      <c r="G255" s="13">
        <f>IF(OR(F255="",I255&lt;&gt;""),"",WORKDAY(F255,Dashboard!$B$22))</f>
      </c>
      <c r="H255" s="12">
        <f>IF(G255="","",IF(I255&lt;&gt;"","Replied",IF(G255&lt;=TODAY(),"DUE","Waiting")))</f>
      </c>
      <c r="I255" s="13"/>
      <c r="J255" s="12"/>
      <c r="K255" s="13"/>
      <c r="L255" s="16"/>
    </row>
    <row r="256" spans="1:12" x14ac:dyDescent="0.25">
      <c r="A256" s="12"/>
      <c r="B256" s="12"/>
      <c r="C256" s="12"/>
      <c r="D256" s="12"/>
      <c r="E256" s="12"/>
      <c r="F256" s="13"/>
      <c r="G256" s="13">
        <f>IF(OR(F256="",I256&lt;&gt;""),"",WORKDAY(F256,Dashboard!$B$22))</f>
      </c>
      <c r="H256" s="12">
        <f>IF(G256="","",IF(I256&lt;&gt;"","Replied",IF(G256&lt;=TODAY(),"DUE","Waiting")))</f>
      </c>
      <c r="I256" s="13"/>
      <c r="J256" s="12"/>
      <c r="K256" s="13"/>
      <c r="L256" s="16"/>
    </row>
    <row r="257" spans="1:12" x14ac:dyDescent="0.25">
      <c r="A257" s="12"/>
      <c r="B257" s="12"/>
      <c r="C257" s="12"/>
      <c r="D257" s="12"/>
      <c r="E257" s="12"/>
      <c r="F257" s="13"/>
      <c r="G257" s="13">
        <f>IF(OR(F257="",I257&lt;&gt;""),"",WORKDAY(F257,Dashboard!$B$22))</f>
      </c>
      <c r="H257" s="12">
        <f>IF(G257="","",IF(I257&lt;&gt;"","Replied",IF(G257&lt;=TODAY(),"DUE","Waiting")))</f>
      </c>
      <c r="I257" s="13"/>
      <c r="J257" s="12"/>
      <c r="K257" s="13"/>
      <c r="L257" s="16"/>
    </row>
    <row r="258" spans="1:12" x14ac:dyDescent="0.25">
      <c r="A258" s="12"/>
      <c r="B258" s="12"/>
      <c r="C258" s="12"/>
      <c r="D258" s="12"/>
      <c r="E258" s="12"/>
      <c r="F258" s="13"/>
      <c r="G258" s="13">
        <f>IF(OR(F258="",I258&lt;&gt;""),"",WORKDAY(F258,Dashboard!$B$22))</f>
      </c>
      <c r="H258" s="12">
        <f>IF(G258="","",IF(I258&lt;&gt;"","Replied",IF(G258&lt;=TODAY(),"DUE","Waiting")))</f>
      </c>
      <c r="I258" s="13"/>
      <c r="J258" s="12"/>
      <c r="K258" s="13"/>
      <c r="L258" s="16"/>
    </row>
    <row r="259" spans="1:12" x14ac:dyDescent="0.25">
      <c r="A259" s="12"/>
      <c r="B259" s="12"/>
      <c r="C259" s="12"/>
      <c r="D259" s="12"/>
      <c r="E259" s="12"/>
      <c r="F259" s="13"/>
      <c r="G259" s="13">
        <f>IF(OR(F259="",I259&lt;&gt;""),"",WORKDAY(F259,Dashboard!$B$22))</f>
      </c>
      <c r="H259" s="12">
        <f>IF(G259="","",IF(I259&lt;&gt;"","Replied",IF(G259&lt;=TODAY(),"DUE","Waiting")))</f>
      </c>
      <c r="I259" s="13"/>
      <c r="J259" s="12"/>
      <c r="K259" s="13"/>
      <c r="L259" s="16"/>
    </row>
    <row r="260" spans="1:12" x14ac:dyDescent="0.25">
      <c r="A260" s="12"/>
      <c r="B260" s="12"/>
      <c r="C260" s="12"/>
      <c r="D260" s="12"/>
      <c r="E260" s="12"/>
      <c r="F260" s="13"/>
      <c r="G260" s="13">
        <f>IF(OR(F260="",I260&lt;&gt;""),"",WORKDAY(F260,Dashboard!$B$22))</f>
      </c>
      <c r="H260" s="12">
        <f>IF(G260="","",IF(I260&lt;&gt;"","Replied",IF(G260&lt;=TODAY(),"DUE","Waiting")))</f>
      </c>
      <c r="I260" s="13"/>
      <c r="J260" s="12"/>
      <c r="K260" s="13"/>
      <c r="L260" s="16"/>
    </row>
    <row r="261" spans="1:12" x14ac:dyDescent="0.25">
      <c r="A261" s="12"/>
      <c r="B261" s="12"/>
      <c r="C261" s="12"/>
      <c r="D261" s="12"/>
      <c r="E261" s="12"/>
      <c r="F261" s="13"/>
      <c r="G261" s="13">
        <f>IF(OR(F261="",I261&lt;&gt;""),"",WORKDAY(F261,Dashboard!$B$22))</f>
      </c>
      <c r="H261" s="12">
        <f>IF(G261="","",IF(I261&lt;&gt;"","Replied",IF(G261&lt;=TODAY(),"DUE","Waiting")))</f>
      </c>
      <c r="I261" s="13"/>
      <c r="J261" s="12"/>
      <c r="K261" s="13"/>
      <c r="L261" s="16"/>
    </row>
    <row r="262" spans="1:12" x14ac:dyDescent="0.25">
      <c r="A262" s="12"/>
      <c r="B262" s="12"/>
      <c r="C262" s="12"/>
      <c r="D262" s="12"/>
      <c r="E262" s="12"/>
      <c r="F262" s="13"/>
      <c r="G262" s="13">
        <f>IF(OR(F262="",I262&lt;&gt;""),"",WORKDAY(F262,Dashboard!$B$22))</f>
      </c>
      <c r="H262" s="12">
        <f>IF(G262="","",IF(I262&lt;&gt;"","Replied",IF(G262&lt;=TODAY(),"DUE","Waiting")))</f>
      </c>
      <c r="I262" s="13"/>
      <c r="J262" s="12"/>
      <c r="K262" s="13"/>
      <c r="L262" s="16"/>
    </row>
    <row r="263" spans="1:12" x14ac:dyDescent="0.25">
      <c r="A263" s="12"/>
      <c r="B263" s="12"/>
      <c r="C263" s="12"/>
      <c r="D263" s="12"/>
      <c r="E263" s="12"/>
      <c r="F263" s="13"/>
      <c r="G263" s="13">
        <f>IF(OR(F263="",I263&lt;&gt;""),"",WORKDAY(F263,Dashboard!$B$22))</f>
      </c>
      <c r="H263" s="12">
        <f>IF(G263="","",IF(I263&lt;&gt;"","Replied",IF(G263&lt;=TODAY(),"DUE","Waiting")))</f>
      </c>
      <c r="I263" s="13"/>
      <c r="J263" s="12"/>
      <c r="K263" s="13"/>
      <c r="L263" s="16"/>
    </row>
    <row r="264" spans="1:12" x14ac:dyDescent="0.25">
      <c r="A264" s="12"/>
      <c r="B264" s="12"/>
      <c r="C264" s="12"/>
      <c r="D264" s="12"/>
      <c r="E264" s="12"/>
      <c r="F264" s="13"/>
      <c r="G264" s="13">
        <f>IF(OR(F264="",I264&lt;&gt;""),"",WORKDAY(F264,Dashboard!$B$22))</f>
      </c>
      <c r="H264" s="12">
        <f>IF(G264="","",IF(I264&lt;&gt;"","Replied",IF(G264&lt;=TODAY(),"DUE","Waiting")))</f>
      </c>
      <c r="I264" s="13"/>
      <c r="J264" s="12"/>
      <c r="K264" s="13"/>
      <c r="L264" s="16"/>
    </row>
    <row r="265" spans="1:12" x14ac:dyDescent="0.25">
      <c r="A265" s="12"/>
      <c r="B265" s="12"/>
      <c r="C265" s="12"/>
      <c r="D265" s="12"/>
      <c r="E265" s="12"/>
      <c r="F265" s="13"/>
      <c r="G265" s="13">
        <f>IF(OR(F265="",I265&lt;&gt;""),"",WORKDAY(F265,Dashboard!$B$22))</f>
      </c>
      <c r="H265" s="12">
        <f>IF(G265="","",IF(I265&lt;&gt;"","Replied",IF(G265&lt;=TODAY(),"DUE","Waiting")))</f>
      </c>
      <c r="I265" s="13"/>
      <c r="J265" s="12"/>
      <c r="K265" s="13"/>
      <c r="L265" s="16"/>
    </row>
    <row r="266" spans="1:12" x14ac:dyDescent="0.25">
      <c r="A266" s="12"/>
      <c r="B266" s="12"/>
      <c r="C266" s="12"/>
      <c r="D266" s="12"/>
      <c r="E266" s="12"/>
      <c r="F266" s="13"/>
      <c r="G266" s="13">
        <f>IF(OR(F266="",I266&lt;&gt;""),"",WORKDAY(F266,Dashboard!$B$22))</f>
      </c>
      <c r="H266" s="12">
        <f>IF(G266="","",IF(I266&lt;&gt;"","Replied",IF(G266&lt;=TODAY(),"DUE","Waiting")))</f>
      </c>
      <c r="I266" s="13"/>
      <c r="J266" s="12"/>
      <c r="K266" s="13"/>
      <c r="L266" s="16"/>
    </row>
    <row r="267" spans="1:12" x14ac:dyDescent="0.25">
      <c r="A267" s="12"/>
      <c r="B267" s="12"/>
      <c r="C267" s="12"/>
      <c r="D267" s="12"/>
      <c r="E267" s="12"/>
      <c r="F267" s="13"/>
      <c r="G267" s="13">
        <f>IF(OR(F267="",I267&lt;&gt;""),"",WORKDAY(F267,Dashboard!$B$22))</f>
      </c>
      <c r="H267" s="12">
        <f>IF(G267="","",IF(I267&lt;&gt;"","Replied",IF(G267&lt;=TODAY(),"DUE","Waiting")))</f>
      </c>
      <c r="I267" s="13"/>
      <c r="J267" s="12"/>
      <c r="K267" s="13"/>
      <c r="L267" s="16"/>
    </row>
    <row r="268" spans="1:12" x14ac:dyDescent="0.25">
      <c r="A268" s="12"/>
      <c r="B268" s="12"/>
      <c r="C268" s="12"/>
      <c r="D268" s="12"/>
      <c r="E268" s="12"/>
      <c r="F268" s="13"/>
      <c r="G268" s="13">
        <f>IF(OR(F268="",I268&lt;&gt;""),"",WORKDAY(F268,Dashboard!$B$22))</f>
      </c>
      <c r="H268" s="12">
        <f>IF(G268="","",IF(I268&lt;&gt;"","Replied",IF(G268&lt;=TODAY(),"DUE","Waiting")))</f>
      </c>
      <c r="I268" s="13"/>
      <c r="J268" s="12"/>
      <c r="K268" s="13"/>
      <c r="L268" s="16"/>
    </row>
    <row r="269" spans="1:12" x14ac:dyDescent="0.25">
      <c r="A269" s="12"/>
      <c r="B269" s="12"/>
      <c r="C269" s="12"/>
      <c r="D269" s="12"/>
      <c r="E269" s="12"/>
      <c r="F269" s="13"/>
      <c r="G269" s="13">
        <f>IF(OR(F269="",I269&lt;&gt;""),"",WORKDAY(F269,Dashboard!$B$22))</f>
      </c>
      <c r="H269" s="12">
        <f>IF(G269="","",IF(I269&lt;&gt;"","Replied",IF(G269&lt;=TODAY(),"DUE","Waiting")))</f>
      </c>
      <c r="I269" s="13"/>
      <c r="J269" s="12"/>
      <c r="K269" s="13"/>
      <c r="L269" s="16"/>
    </row>
    <row r="270" spans="1:12" x14ac:dyDescent="0.25">
      <c r="A270" s="12"/>
      <c r="B270" s="12"/>
      <c r="C270" s="12"/>
      <c r="D270" s="12"/>
      <c r="E270" s="12"/>
      <c r="F270" s="13"/>
      <c r="G270" s="13">
        <f>IF(OR(F270="",I270&lt;&gt;""),"",WORKDAY(F270,Dashboard!$B$22))</f>
      </c>
      <c r="H270" s="12">
        <f>IF(G270="","",IF(I270&lt;&gt;"","Replied",IF(G270&lt;=TODAY(),"DUE","Waiting")))</f>
      </c>
      <c r="I270" s="13"/>
      <c r="J270" s="12"/>
      <c r="K270" s="13"/>
      <c r="L270" s="16"/>
    </row>
    <row r="271" spans="1:12" x14ac:dyDescent="0.25">
      <c r="A271" s="12"/>
      <c r="B271" s="12"/>
      <c r="C271" s="12"/>
      <c r="D271" s="12"/>
      <c r="E271" s="12"/>
      <c r="F271" s="13"/>
      <c r="G271" s="13">
        <f>IF(OR(F271="",I271&lt;&gt;""),"",WORKDAY(F271,Dashboard!$B$22))</f>
      </c>
      <c r="H271" s="12">
        <f>IF(G271="","",IF(I271&lt;&gt;"","Replied",IF(G271&lt;=TODAY(),"DUE","Waiting")))</f>
      </c>
      <c r="I271" s="13"/>
      <c r="J271" s="12"/>
      <c r="K271" s="13"/>
      <c r="L271" s="16"/>
    </row>
    <row r="272" spans="1:12" x14ac:dyDescent="0.25">
      <c r="A272" s="12"/>
      <c r="B272" s="12"/>
      <c r="C272" s="12"/>
      <c r="D272" s="12"/>
      <c r="E272" s="12"/>
      <c r="F272" s="13"/>
      <c r="G272" s="13">
        <f>IF(OR(F272="",I272&lt;&gt;""),"",WORKDAY(F272,Dashboard!$B$22))</f>
      </c>
      <c r="H272" s="12">
        <f>IF(G272="","",IF(I272&lt;&gt;"","Replied",IF(G272&lt;=TODAY(),"DUE","Waiting")))</f>
      </c>
      <c r="I272" s="13"/>
      <c r="J272" s="12"/>
      <c r="K272" s="13"/>
      <c r="L272" s="16"/>
    </row>
    <row r="273" spans="1:12" x14ac:dyDescent="0.25">
      <c r="A273" s="12"/>
      <c r="B273" s="12"/>
      <c r="C273" s="12"/>
      <c r="D273" s="12"/>
      <c r="E273" s="12"/>
      <c r="F273" s="13"/>
      <c r="G273" s="13">
        <f>IF(OR(F273="",I273&lt;&gt;""),"",WORKDAY(F273,Dashboard!$B$22))</f>
      </c>
      <c r="H273" s="12">
        <f>IF(G273="","",IF(I273&lt;&gt;"","Replied",IF(G273&lt;=TODAY(),"DUE","Waiting")))</f>
      </c>
      <c r="I273" s="13"/>
      <c r="J273" s="12"/>
      <c r="K273" s="13"/>
      <c r="L273" s="16"/>
    </row>
    <row r="274" spans="1:12" x14ac:dyDescent="0.25">
      <c r="A274" s="12"/>
      <c r="B274" s="12"/>
      <c r="C274" s="12"/>
      <c r="D274" s="12"/>
      <c r="E274" s="12"/>
      <c r="F274" s="13"/>
      <c r="G274" s="13">
        <f>IF(OR(F274="",I274&lt;&gt;""),"",WORKDAY(F274,Dashboard!$B$22))</f>
      </c>
      <c r="H274" s="12">
        <f>IF(G274="","",IF(I274&lt;&gt;"","Replied",IF(G274&lt;=TODAY(),"DUE","Waiting")))</f>
      </c>
      <c r="I274" s="13"/>
      <c r="J274" s="12"/>
      <c r="K274" s="13"/>
      <c r="L274" s="16"/>
    </row>
    <row r="275" spans="1:12" x14ac:dyDescent="0.25">
      <c r="A275" s="12"/>
      <c r="B275" s="12"/>
      <c r="C275" s="12"/>
      <c r="D275" s="12"/>
      <c r="E275" s="12"/>
      <c r="F275" s="13"/>
      <c r="G275" s="13">
        <f>IF(OR(F275="",I275&lt;&gt;""),"",WORKDAY(F275,Dashboard!$B$22))</f>
      </c>
      <c r="H275" s="12">
        <f>IF(G275="","",IF(I275&lt;&gt;"","Replied",IF(G275&lt;=TODAY(),"DUE","Waiting")))</f>
      </c>
      <c r="I275" s="13"/>
      <c r="J275" s="12"/>
      <c r="K275" s="13"/>
      <c r="L275" s="16"/>
    </row>
    <row r="276" spans="1:12" x14ac:dyDescent="0.25">
      <c r="A276" s="12"/>
      <c r="B276" s="12"/>
      <c r="C276" s="12"/>
      <c r="D276" s="12"/>
      <c r="E276" s="12"/>
      <c r="F276" s="13"/>
      <c r="G276" s="13">
        <f>IF(OR(F276="",I276&lt;&gt;""),"",WORKDAY(F276,Dashboard!$B$22))</f>
      </c>
      <c r="H276" s="12">
        <f>IF(G276="","",IF(I276&lt;&gt;"","Replied",IF(G276&lt;=TODAY(),"DUE","Waiting")))</f>
      </c>
      <c r="I276" s="13"/>
      <c r="J276" s="12"/>
      <c r="K276" s="13"/>
      <c r="L276" s="16"/>
    </row>
    <row r="277" spans="1:12" x14ac:dyDescent="0.25">
      <c r="A277" s="12"/>
      <c r="B277" s="12"/>
      <c r="C277" s="12"/>
      <c r="D277" s="12"/>
      <c r="E277" s="12"/>
      <c r="F277" s="13"/>
      <c r="G277" s="13">
        <f>IF(OR(F277="",I277&lt;&gt;""),"",WORKDAY(F277,Dashboard!$B$22))</f>
      </c>
      <c r="H277" s="12">
        <f>IF(G277="","",IF(I277&lt;&gt;"","Replied",IF(G277&lt;=TODAY(),"DUE","Waiting")))</f>
      </c>
      <c r="I277" s="13"/>
      <c r="J277" s="12"/>
      <c r="K277" s="13"/>
      <c r="L277" s="16"/>
    </row>
    <row r="278" spans="1:12" x14ac:dyDescent="0.25">
      <c r="A278" s="12"/>
      <c r="B278" s="12"/>
      <c r="C278" s="12"/>
      <c r="D278" s="12"/>
      <c r="E278" s="12"/>
      <c r="F278" s="13"/>
      <c r="G278" s="13">
        <f>IF(OR(F278="",I278&lt;&gt;""),"",WORKDAY(F278,Dashboard!$B$22))</f>
      </c>
      <c r="H278" s="12">
        <f>IF(G278="","",IF(I278&lt;&gt;"","Replied",IF(G278&lt;=TODAY(),"DUE","Waiting")))</f>
      </c>
      <c r="I278" s="13"/>
      <c r="J278" s="12"/>
      <c r="K278" s="13"/>
      <c r="L278" s="16"/>
    </row>
    <row r="279" spans="1:12" x14ac:dyDescent="0.25">
      <c r="A279" s="12"/>
      <c r="B279" s="12"/>
      <c r="C279" s="12"/>
      <c r="D279" s="12"/>
      <c r="E279" s="12"/>
      <c r="F279" s="13"/>
      <c r="G279" s="13">
        <f>IF(OR(F279="",I279&lt;&gt;""),"",WORKDAY(F279,Dashboard!$B$22))</f>
      </c>
      <c r="H279" s="12">
        <f>IF(G279="","",IF(I279&lt;&gt;"","Replied",IF(G279&lt;=TODAY(),"DUE","Waiting")))</f>
      </c>
      <c r="I279" s="13"/>
      <c r="J279" s="12"/>
      <c r="K279" s="13"/>
      <c r="L279" s="16"/>
    </row>
    <row r="280" spans="1:12" x14ac:dyDescent="0.25">
      <c r="A280" s="12"/>
      <c r="B280" s="12"/>
      <c r="C280" s="12"/>
      <c r="D280" s="12"/>
      <c r="E280" s="12"/>
      <c r="F280" s="13"/>
      <c r="G280" s="13">
        <f>IF(OR(F280="",I280&lt;&gt;""),"",WORKDAY(F280,Dashboard!$B$22))</f>
      </c>
      <c r="H280" s="12">
        <f>IF(G280="","",IF(I280&lt;&gt;"","Replied",IF(G280&lt;=TODAY(),"DUE","Waiting")))</f>
      </c>
      <c r="I280" s="13"/>
      <c r="J280" s="12"/>
      <c r="K280" s="13"/>
      <c r="L280" s="16"/>
    </row>
    <row r="281" spans="1:12" x14ac:dyDescent="0.25">
      <c r="A281" s="12"/>
      <c r="B281" s="12"/>
      <c r="C281" s="12"/>
      <c r="D281" s="12"/>
      <c r="E281" s="12"/>
      <c r="F281" s="13"/>
      <c r="G281" s="13">
        <f>IF(OR(F281="",I281&lt;&gt;""),"",WORKDAY(F281,Dashboard!$B$22))</f>
      </c>
      <c r="H281" s="12">
        <f>IF(G281="","",IF(I281&lt;&gt;"","Replied",IF(G281&lt;=TODAY(),"DUE","Waiting")))</f>
      </c>
      <c r="I281" s="13"/>
      <c r="J281" s="12"/>
      <c r="K281" s="13"/>
      <c r="L281" s="16"/>
    </row>
    <row r="282" spans="1:12" x14ac:dyDescent="0.25">
      <c r="A282" s="12"/>
      <c r="B282" s="12"/>
      <c r="C282" s="12"/>
      <c r="D282" s="12"/>
      <c r="E282" s="12"/>
      <c r="F282" s="13"/>
      <c r="G282" s="13">
        <f>IF(OR(F282="",I282&lt;&gt;""),"",WORKDAY(F282,Dashboard!$B$22))</f>
      </c>
      <c r="H282" s="12">
        <f>IF(G282="","",IF(I282&lt;&gt;"","Replied",IF(G282&lt;=TODAY(),"DUE","Waiting")))</f>
      </c>
      <c r="I282" s="13"/>
      <c r="J282" s="12"/>
      <c r="K282" s="13"/>
      <c r="L282" s="16"/>
    </row>
    <row r="283" spans="1:12" x14ac:dyDescent="0.25">
      <c r="A283" s="12"/>
      <c r="B283" s="12"/>
      <c r="C283" s="12"/>
      <c r="D283" s="12"/>
      <c r="E283" s="12"/>
      <c r="F283" s="13"/>
      <c r="G283" s="13">
        <f>IF(OR(F283="",I283&lt;&gt;""),"",WORKDAY(F283,Dashboard!$B$22))</f>
      </c>
      <c r="H283" s="12">
        <f>IF(G283="","",IF(I283&lt;&gt;"","Replied",IF(G283&lt;=TODAY(),"DUE","Waiting")))</f>
      </c>
      <c r="I283" s="13"/>
      <c r="J283" s="12"/>
      <c r="K283" s="13"/>
      <c r="L283" s="16"/>
    </row>
    <row r="284" spans="1:12" x14ac:dyDescent="0.25">
      <c r="A284" s="12"/>
      <c r="B284" s="12"/>
      <c r="C284" s="12"/>
      <c r="D284" s="12"/>
      <c r="E284" s="12"/>
      <c r="F284" s="13"/>
      <c r="G284" s="13">
        <f>IF(OR(F284="",I284&lt;&gt;""),"",WORKDAY(F284,Dashboard!$B$22))</f>
      </c>
      <c r="H284" s="12">
        <f>IF(G284="","",IF(I284&lt;&gt;"","Replied",IF(G284&lt;=TODAY(),"DUE","Waiting")))</f>
      </c>
      <c r="I284" s="13"/>
      <c r="J284" s="12"/>
      <c r="K284" s="13"/>
      <c r="L284" s="16"/>
    </row>
    <row r="285" spans="1:12" x14ac:dyDescent="0.25">
      <c r="A285" s="12"/>
      <c r="B285" s="12"/>
      <c r="C285" s="12"/>
      <c r="D285" s="12"/>
      <c r="E285" s="12"/>
      <c r="F285" s="13"/>
      <c r="G285" s="13">
        <f>IF(OR(F285="",I285&lt;&gt;""),"",WORKDAY(F285,Dashboard!$B$22))</f>
      </c>
      <c r="H285" s="12">
        <f>IF(G285="","",IF(I285&lt;&gt;"","Replied",IF(G285&lt;=TODAY(),"DUE","Waiting")))</f>
      </c>
      <c r="I285" s="13"/>
      <c r="J285" s="12"/>
      <c r="K285" s="13"/>
      <c r="L285" s="16"/>
    </row>
    <row r="286" spans="1:12" x14ac:dyDescent="0.25">
      <c r="A286" s="12"/>
      <c r="B286" s="12"/>
      <c r="C286" s="12"/>
      <c r="D286" s="12"/>
      <c r="E286" s="12"/>
      <c r="F286" s="13"/>
      <c r="G286" s="13">
        <f>IF(OR(F286="",I286&lt;&gt;""),"",WORKDAY(F286,Dashboard!$B$22))</f>
      </c>
      <c r="H286" s="12">
        <f>IF(G286="","",IF(I286&lt;&gt;"","Replied",IF(G286&lt;=TODAY(),"DUE","Waiting")))</f>
      </c>
      <c r="I286" s="13"/>
      <c r="J286" s="12"/>
      <c r="K286" s="13"/>
      <c r="L286" s="16"/>
    </row>
    <row r="287" spans="1:12" x14ac:dyDescent="0.25">
      <c r="A287" s="12"/>
      <c r="B287" s="12"/>
      <c r="C287" s="12"/>
      <c r="D287" s="12"/>
      <c r="E287" s="12"/>
      <c r="F287" s="13"/>
      <c r="G287" s="13">
        <f>IF(OR(F287="",I287&lt;&gt;""),"",WORKDAY(F287,Dashboard!$B$22))</f>
      </c>
      <c r="H287" s="12">
        <f>IF(G287="","",IF(I287&lt;&gt;"","Replied",IF(G287&lt;=TODAY(),"DUE","Waiting")))</f>
      </c>
      <c r="I287" s="13"/>
      <c r="J287" s="12"/>
      <c r="K287" s="13"/>
      <c r="L287" s="16"/>
    </row>
    <row r="288" spans="1:12" x14ac:dyDescent="0.25">
      <c r="A288" s="12"/>
      <c r="B288" s="12"/>
      <c r="C288" s="12"/>
      <c r="D288" s="12"/>
      <c r="E288" s="12"/>
      <c r="F288" s="13"/>
      <c r="G288" s="13">
        <f>IF(OR(F288="",I288&lt;&gt;""),"",WORKDAY(F288,Dashboard!$B$22))</f>
      </c>
      <c r="H288" s="12">
        <f>IF(G288="","",IF(I288&lt;&gt;"","Replied",IF(G288&lt;=TODAY(),"DUE","Waiting")))</f>
      </c>
      <c r="I288" s="13"/>
      <c r="J288" s="12"/>
      <c r="K288" s="13"/>
      <c r="L288" s="16"/>
    </row>
    <row r="289" spans="1:12" x14ac:dyDescent="0.25">
      <c r="A289" s="12"/>
      <c r="B289" s="12"/>
      <c r="C289" s="12"/>
      <c r="D289" s="12"/>
      <c r="E289" s="12"/>
      <c r="F289" s="13"/>
      <c r="G289" s="13">
        <f>IF(OR(F289="",I289&lt;&gt;""),"",WORKDAY(F289,Dashboard!$B$22))</f>
      </c>
      <c r="H289" s="12">
        <f>IF(G289="","",IF(I289&lt;&gt;"","Replied",IF(G289&lt;=TODAY(),"DUE","Waiting")))</f>
      </c>
      <c r="I289" s="13"/>
      <c r="J289" s="12"/>
      <c r="K289" s="13"/>
      <c r="L289" s="16"/>
    </row>
    <row r="290" spans="1:12" x14ac:dyDescent="0.25">
      <c r="A290" s="12"/>
      <c r="B290" s="12"/>
      <c r="C290" s="12"/>
      <c r="D290" s="12"/>
      <c r="E290" s="12"/>
      <c r="F290" s="13"/>
      <c r="G290" s="13">
        <f>IF(OR(F290="",I290&lt;&gt;""),"",WORKDAY(F290,Dashboard!$B$22))</f>
      </c>
      <c r="H290" s="12">
        <f>IF(G290="","",IF(I290&lt;&gt;"","Replied",IF(G290&lt;=TODAY(),"DUE","Waiting")))</f>
      </c>
      <c r="I290" s="13"/>
      <c r="J290" s="12"/>
      <c r="K290" s="13"/>
      <c r="L290" s="16"/>
    </row>
    <row r="291" spans="1:12" x14ac:dyDescent="0.25">
      <c r="A291" s="12"/>
      <c r="B291" s="12"/>
      <c r="C291" s="12"/>
      <c r="D291" s="12"/>
      <c r="E291" s="12"/>
      <c r="F291" s="13"/>
      <c r="G291" s="13">
        <f>IF(OR(F291="",I291&lt;&gt;""),"",WORKDAY(F291,Dashboard!$B$22))</f>
      </c>
      <c r="H291" s="12">
        <f>IF(G291="","",IF(I291&lt;&gt;"","Replied",IF(G291&lt;=TODAY(),"DUE","Waiting")))</f>
      </c>
      <c r="I291" s="13"/>
      <c r="J291" s="12"/>
      <c r="K291" s="13"/>
      <c r="L291" s="16"/>
    </row>
    <row r="292" spans="1:12" x14ac:dyDescent="0.25">
      <c r="A292" s="12"/>
      <c r="B292" s="12"/>
      <c r="C292" s="12"/>
      <c r="D292" s="12"/>
      <c r="E292" s="12"/>
      <c r="F292" s="13"/>
      <c r="G292" s="13">
        <f>IF(OR(F292="",I292&lt;&gt;""),"",WORKDAY(F292,Dashboard!$B$22))</f>
      </c>
      <c r="H292" s="12">
        <f>IF(G292="","",IF(I292&lt;&gt;"","Replied",IF(G292&lt;=TODAY(),"DUE","Waiting")))</f>
      </c>
      <c r="I292" s="13"/>
      <c r="J292" s="12"/>
      <c r="K292" s="13"/>
      <c r="L292" s="16"/>
    </row>
    <row r="293" spans="1:12" x14ac:dyDescent="0.25">
      <c r="A293" s="12"/>
      <c r="B293" s="12"/>
      <c r="C293" s="12"/>
      <c r="D293" s="12"/>
      <c r="E293" s="12"/>
      <c r="F293" s="13"/>
      <c r="G293" s="13">
        <f>IF(OR(F293="",I293&lt;&gt;""),"",WORKDAY(F293,Dashboard!$B$22))</f>
      </c>
      <c r="H293" s="12">
        <f>IF(G293="","",IF(I293&lt;&gt;"","Replied",IF(G293&lt;=TODAY(),"DUE","Waiting")))</f>
      </c>
      <c r="I293" s="13"/>
      <c r="J293" s="12"/>
      <c r="K293" s="13"/>
      <c r="L293" s="16"/>
    </row>
    <row r="294" spans="1:12" x14ac:dyDescent="0.25">
      <c r="A294" s="12"/>
      <c r="B294" s="12"/>
      <c r="C294" s="12"/>
      <c r="D294" s="12"/>
      <c r="E294" s="12"/>
      <c r="F294" s="13"/>
      <c r="G294" s="13">
        <f>IF(OR(F294="",I294&lt;&gt;""),"",WORKDAY(F294,Dashboard!$B$22))</f>
      </c>
      <c r="H294" s="12">
        <f>IF(G294="","",IF(I294&lt;&gt;"","Replied",IF(G294&lt;=TODAY(),"DUE","Waiting")))</f>
      </c>
      <c r="I294" s="13"/>
      <c r="J294" s="12"/>
      <c r="K294" s="13"/>
      <c r="L294" s="16"/>
    </row>
    <row r="295" spans="1:12" x14ac:dyDescent="0.25">
      <c r="A295" s="12"/>
      <c r="B295" s="12"/>
      <c r="C295" s="12"/>
      <c r="D295" s="12"/>
      <c r="E295" s="12"/>
      <c r="F295" s="13"/>
      <c r="G295" s="13">
        <f>IF(OR(F295="",I295&lt;&gt;""),"",WORKDAY(F295,Dashboard!$B$22))</f>
      </c>
      <c r="H295" s="12">
        <f>IF(G295="","",IF(I295&lt;&gt;"","Replied",IF(G295&lt;=TODAY(),"DUE","Waiting")))</f>
      </c>
      <c r="I295" s="13"/>
      <c r="J295" s="12"/>
      <c r="K295" s="13"/>
      <c r="L295" s="16"/>
    </row>
    <row r="296" spans="1:12" x14ac:dyDescent="0.25">
      <c r="A296" s="12"/>
      <c r="B296" s="12"/>
      <c r="C296" s="12"/>
      <c r="D296" s="12"/>
      <c r="E296" s="12"/>
      <c r="F296" s="13"/>
      <c r="G296" s="13">
        <f>IF(OR(F296="",I296&lt;&gt;""),"",WORKDAY(F296,Dashboard!$B$22))</f>
      </c>
      <c r="H296" s="12">
        <f>IF(G296="","",IF(I296&lt;&gt;"","Replied",IF(G296&lt;=TODAY(),"DUE","Waiting")))</f>
      </c>
      <c r="I296" s="13"/>
      <c r="J296" s="12"/>
      <c r="K296" s="13"/>
      <c r="L296" s="16"/>
    </row>
    <row r="297" spans="1:12" x14ac:dyDescent="0.25">
      <c r="A297" s="12"/>
      <c r="B297" s="12"/>
      <c r="C297" s="12"/>
      <c r="D297" s="12"/>
      <c r="E297" s="12"/>
      <c r="F297" s="13"/>
      <c r="G297" s="13">
        <f>IF(OR(F297="",I297&lt;&gt;""),"",WORKDAY(F297,Dashboard!$B$22))</f>
      </c>
      <c r="H297" s="12">
        <f>IF(G297="","",IF(I297&lt;&gt;"","Replied",IF(G297&lt;=TODAY(),"DUE","Waiting")))</f>
      </c>
      <c r="I297" s="13"/>
      <c r="J297" s="12"/>
      <c r="K297" s="13"/>
      <c r="L297" s="16"/>
    </row>
    <row r="298" spans="1:12" x14ac:dyDescent="0.25">
      <c r="A298" s="12"/>
      <c r="B298" s="12"/>
      <c r="C298" s="12"/>
      <c r="D298" s="12"/>
      <c r="E298" s="12"/>
      <c r="F298" s="13"/>
      <c r="G298" s="13">
        <f>IF(OR(F298="",I298&lt;&gt;""),"",WORKDAY(F298,Dashboard!$B$22))</f>
      </c>
      <c r="H298" s="12">
        <f>IF(G298="","",IF(I298&lt;&gt;"","Replied",IF(G298&lt;=TODAY(),"DUE","Waiting")))</f>
      </c>
      <c r="I298" s="13"/>
      <c r="J298" s="12"/>
      <c r="K298" s="13"/>
      <c r="L298" s="16"/>
    </row>
    <row r="299" spans="1:12" x14ac:dyDescent="0.25">
      <c r="A299" s="12"/>
      <c r="B299" s="12"/>
      <c r="C299" s="12"/>
      <c r="D299" s="12"/>
      <c r="E299" s="12"/>
      <c r="F299" s="13"/>
      <c r="G299" s="13">
        <f>IF(OR(F299="",I299&lt;&gt;""),"",WORKDAY(F299,Dashboard!$B$22))</f>
      </c>
      <c r="H299" s="12">
        <f>IF(G299="","",IF(I299&lt;&gt;"","Replied",IF(G299&lt;=TODAY(),"DUE","Waiting")))</f>
      </c>
      <c r="I299" s="13"/>
      <c r="J299" s="12"/>
      <c r="K299" s="13"/>
      <c r="L299" s="16"/>
    </row>
    <row r="300" spans="1:12" x14ac:dyDescent="0.25">
      <c r="A300" s="12"/>
      <c r="B300" s="12"/>
      <c r="C300" s="12"/>
      <c r="D300" s="12"/>
      <c r="E300" s="12"/>
      <c r="F300" s="13"/>
      <c r="G300" s="13">
        <f>IF(OR(F300="",I300&lt;&gt;""),"",WORKDAY(F300,Dashboard!$B$22))</f>
      </c>
      <c r="H300" s="12">
        <f>IF(G300="","",IF(I300&lt;&gt;"","Replied",IF(G300&lt;=TODAY(),"DUE","Waiting")))</f>
      </c>
      <c r="I300" s="13"/>
      <c r="J300" s="12"/>
      <c r="K300" s="13"/>
      <c r="L300" s="16"/>
    </row>
    <row r="301" spans="1:12" x14ac:dyDescent="0.25">
      <c r="A301" s="12"/>
      <c r="B301" s="12"/>
      <c r="C301" s="12"/>
      <c r="D301" s="12"/>
      <c r="E301" s="12"/>
      <c r="F301" s="13"/>
      <c r="G301" s="13">
        <f>IF(OR(F301="",I301&lt;&gt;""),"",WORKDAY(F301,Dashboard!$B$22))</f>
      </c>
      <c r="H301" s="12">
        <f>IF(G301="","",IF(I301&lt;&gt;"","Replied",IF(G301&lt;=TODAY(),"DUE","Waiting")))</f>
      </c>
      <c r="I301" s="13"/>
      <c r="J301" s="12"/>
      <c r="K301" s="13"/>
      <c r="L301" s="16"/>
    </row>
  </sheetData>
  <autoFilter ref="A1:L1"/>
  <conditionalFormatting sqref="H2:H301">
    <cfRule type="cellIs" dxfId="9" priority="1" operator="equal">
      <formula>"DUE"</formula>
    </cfRule>
    <cfRule type="cellIs" dxfId="10" priority="2" operator="equal">
      <formula>"Replied"</formula>
    </cfRule>
  </conditionalFormatting>
  <conditionalFormatting sqref="D2:D301">
    <cfRule type="cellIs" dxfId="11" priority="3" operator="greaterThanOrEqual">
      <formula>75</formula>
    </cfRule>
    <cfRule type="cellIs" dxfId="12" priority="4" operator="between">
      <formula>50</formula>
      <formula>74.99</formula>
    </cfRule>
    <cfRule type="cellIs" dxfId="13" priority="5" operator="lessThan">
      <formula>50</formula>
    </cfRule>
  </conditionalFormatting>
  <conditionalFormatting sqref="E2:E301">
    <cfRule type="cellIs" dxfId="14" priority="10" operator="equal">
      <formula>"Identified"</formula>
    </cfRule>
    <cfRule type="cellIs" dxfId="15" priority="11" operator="equal">
      <formula>"Email drafted"</formula>
    </cfRule>
    <cfRule type="cellIs" dxfId="16" priority="12" operator="equal">
      <formula>"Email sent"</formula>
    </cfRule>
    <cfRule type="cellIs" dxfId="17" priority="13" operator="equal">
      <formula>"Follow-up sent"</formula>
    </cfRule>
    <cfRule type="cellIs" dxfId="18" priority="14" operator="equal">
      <formula>"Replied"</formula>
    </cfRule>
    <cfRule type="cellIs" dxfId="19" priority="15" operator="equal">
      <formula>"Interview scheduled"</formula>
    </cfRule>
    <cfRule type="cellIs" dxfId="20" priority="16" operator="equal">
      <formula>"Confirmed support"</formula>
    </cfRule>
    <cfRule type="cellIs" dxfId="21" priority="17" operator="equal">
      <formula>"Declined"</formula>
    </cfRule>
    <cfRule type="cellIs" dxfId="22" priority="18" operator="equal">
      <formula>"No response"</formula>
    </cfRule>
  </conditionalFormatting>
  <dataValidations count="4">
    <dataValidation type="list" allowBlank="1" showErrorMessage="1" errorStyle="warning" errorTitle="Pick from the list" error="Choose one of: Identified, Email drafted, Email sent, Follow-up sent, Replied, Interview scheduled, Confirmed support, Declined, No response" sqref="E10:E301">
      <formula1>Lists!$F$2:$F$10</formula1>
    </dataValidation>
    <dataValidation type="list" allowBlank="1" showErrorMessage="1" errorStyle="warning" errorTitle="Pick from the list" error="Choose one of: Identified, Email drafted, Email sent, Follow-up sent, Replied, Interview scheduled, Confirmed support, Declined, No response" sqref="E2:E301">
      <formula1>Lists!$F$2:$F$10</formula1>
    </dataValidation>
    <dataValidation type="list" allowBlank="1" showErrorMessage="1" errorStyle="warning" errorTitle="Pick from the list" error="Choose one of: Enthusiastic, Positive but cautious, Generic / auto-reply, Redirect, Negative" sqref="J10:J301">
      <formula1>Lists!$G$2:$G$6</formula1>
    </dataValidation>
    <dataValidation type="list" allowBlank="1" showErrorMessage="1" errorStyle="warning" errorTitle="Pick from the list" error="Choose one of: Enthusiastic, Positive but cautious, Generic / auto-reply, Redirect, Negative" sqref="J2:J301">
      <formula1>Lists!$G$2:$G$6</formula1>
    </dataValidation>
  </dataValidations>
  <pageMargins left="0.7" right="0.7" top="0.75" bottom="0.75" header="0.3" footer="0.3"/>
  <pageSetup orientation="portrait" horizontalDpi="4294967295" verticalDpi="4294967295" scale="100" fitToWidth="1" fitToHeight="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M3"/>
  <sheetViews>
    <sheetView workbookViewId="0">
      <pane xSplit="1" ySplit="1" topLeftCell="B2" activePane="bottomRight" state="frozen"/>
      <selection pane="bottomRight"/>
    </sheetView>
  </sheetViews>
  <sheetFormatPr defaultRowHeight="15" outlineLevelRow="0" outlineLevelCol="0" x14ac:dyDescent="55"/>
  <cols>
    <col min="1" max="1" width="24" customWidth="1"/>
    <col min="2" max="3" width="22" customWidth="1"/>
    <col min="4" max="4" width="8" customWidth="1"/>
    <col min="5" max="5" width="10" customWidth="1"/>
    <col min="6" max="6" width="8" customWidth="1"/>
    <col min="8" max="9" width="8" customWidth="1"/>
    <col min="10" max="11" width="34" customWidth="1"/>
    <col min="12" max="13" width="28" customWidth="1"/>
  </cols>
  <sheetData>
    <row r="1" ht="30" customHeight="1" spans="1:13" x14ac:dyDescent="0.25">
      <c r="A1" s="10" t="s">
        <v>69</v>
      </c>
      <c r="B1" s="10" t="s">
        <v>37</v>
      </c>
      <c r="C1" s="10" t="s">
        <v>83</v>
      </c>
      <c r="D1" s="10" t="s">
        <v>84</v>
      </c>
      <c r="E1" s="10" t="s">
        <v>85</v>
      </c>
      <c r="F1" s="10" t="s">
        <v>86</v>
      </c>
      <c r="G1" s="10" t="s">
        <v>87</v>
      </c>
      <c r="H1" s="10" t="s">
        <v>88</v>
      </c>
      <c r="I1" s="10" t="s">
        <v>89</v>
      </c>
      <c r="J1" s="10" t="s">
        <v>90</v>
      </c>
      <c r="K1" s="10" t="s">
        <v>91</v>
      </c>
      <c r="L1" s="10" t="s">
        <v>92</v>
      </c>
      <c r="M1" s="10" t="s">
        <v>93</v>
      </c>
    </row>
    <row r="3" spans="1:1" x14ac:dyDescent="0.25">
      <c r="A3" s="2" t="s">
        <v>94</v>
      </c>
    </row>
  </sheetData>
  <autoFilter ref="A1:M1"/>
  <conditionalFormatting sqref="D2:D2">
    <cfRule type="cellIs" dxfId="23" priority="1" operator="greaterThanOrEqual">
      <formula>75</formula>
    </cfRule>
    <cfRule type="cellIs" dxfId="24" priority="2" operator="between">
      <formula>50</formula>
      <formula>74.99</formula>
    </cfRule>
    <cfRule type="cellIs" dxfId="25" priority="3" operator="lessThan">
      <formula>50</formula>
    </cfRule>
  </conditionalFormatting>
  <pageMargins left="0.7" right="0.7" top="0.75" bottom="0.75" header="0.3" footer="0.3"/>
  <pageSetup orientation="portrait" horizontalDpi="4294967295" verticalDpi="4294967295" scale="100" fitToWidth="1" fitToHeight="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15"/>
  <sheetFormatPr defaultRowHeight="15" outlineLevelRow="0" outlineLevelCol="0" x14ac:dyDescent="55"/>
  <cols>
    <col min="1" max="1" width="28" customWidth="1"/>
    <col min="2" max="2" width="90" customWidth="1"/>
  </cols>
  <sheetData>
    <row r="1" spans="1:2" x14ac:dyDescent="0.25">
      <c r="A1" s="5" t="s">
        <v>95</v>
      </c>
      <c r="B1" s="17" t="s">
        <v>96</v>
      </c>
    </row>
    <row r="2" spans="1:2" x14ac:dyDescent="0.25">
      <c r="A2" s="5" t="s">
        <v>70</v>
      </c>
      <c r="B2" s="17" t="s">
        <v>96</v>
      </c>
    </row>
    <row r="3" spans="1:2" x14ac:dyDescent="0.25">
      <c r="A3" s="5" t="s">
        <v>97</v>
      </c>
      <c r="B3" s="17" t="s">
        <v>59</v>
      </c>
    </row>
    <row r="4" spans="1:2" x14ac:dyDescent="0.25">
      <c r="A4" s="5" t="s">
        <v>98</v>
      </c>
      <c r="B4" s="17" t="s">
        <v>96</v>
      </c>
    </row>
    <row r="5" spans="1:2" x14ac:dyDescent="0.25">
      <c r="A5" s="5" t="s">
        <v>99</v>
      </c>
      <c r="B5" s="17" t="s">
        <v>96</v>
      </c>
    </row>
    <row r="6" spans="1:2" x14ac:dyDescent="0.25">
      <c r="A6" s="5" t="s">
        <v>100</v>
      </c>
      <c r="B6" s="17" t="s">
        <v>96</v>
      </c>
    </row>
    <row r="7" spans="1:2" x14ac:dyDescent="0.25">
      <c r="A7" s="5" t="s">
        <v>101</v>
      </c>
      <c r="B7" s="17" t="s">
        <v>96</v>
      </c>
    </row>
    <row r="8" spans="1:2" x14ac:dyDescent="0.25">
      <c r="A8" s="5" t="s">
        <v>102</v>
      </c>
      <c r="B8" s="17" t="s">
        <v>96</v>
      </c>
    </row>
    <row r="9" spans="1:2" x14ac:dyDescent="0.25">
      <c r="A9" s="5" t="s">
        <v>46</v>
      </c>
      <c r="B9" s="17" t="s">
        <v>96</v>
      </c>
    </row>
    <row r="10" spans="1:2" x14ac:dyDescent="0.25">
      <c r="A10" s="5" t="s">
        <v>103</v>
      </c>
      <c r="B10" s="17" t="s">
        <v>96</v>
      </c>
    </row>
    <row r="11" spans="1:2" x14ac:dyDescent="0.25">
      <c r="A11" s="5" t="s">
        <v>104</v>
      </c>
      <c r="B11" s="17" t="s">
        <v>96</v>
      </c>
    </row>
    <row r="12" spans="1:2" x14ac:dyDescent="0.25">
      <c r="A12" s="5" t="s">
        <v>105</v>
      </c>
      <c r="B12" s="17" t="s">
        <v>96</v>
      </c>
    </row>
    <row r="13" spans="1:2" x14ac:dyDescent="0.25">
      <c r="A13" s="5" t="s">
        <v>106</v>
      </c>
      <c r="B13" s="17" t="s">
        <v>96</v>
      </c>
    </row>
    <row r="14" spans="1:2" x14ac:dyDescent="0.25">
      <c r="A14" s="5" t="s">
        <v>107</v>
      </c>
      <c r="B14" s="17" t="s">
        <v>96</v>
      </c>
    </row>
    <row r="15" spans="1:2" x14ac:dyDescent="0.25">
      <c r="A15" s="5" t="s">
        <v>108</v>
      </c>
      <c r="B15" s="17" t="s">
        <v>96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0"/>
  <sheetFormatPr defaultRowHeight="15" outlineLevelRow="0" outlineLevelCol="0" x14ac:dyDescent="55"/>
  <sheetData>
    <row r="1" spans="1:8" x14ac:dyDescent="0.25">
      <c r="A1" t="s">
        <v>54</v>
      </c>
      <c r="B1" t="s">
        <v>109</v>
      </c>
      <c r="C1" t="s">
        <v>46</v>
      </c>
      <c r="D1" t="s">
        <v>110</v>
      </c>
      <c r="E1" t="s">
        <v>111</v>
      </c>
      <c r="F1" t="s">
        <v>72</v>
      </c>
      <c r="G1" t="s">
        <v>112</v>
      </c>
      <c r="H1" t="s">
        <v>85</v>
      </c>
    </row>
    <row r="2" spans="1:8" x14ac:dyDescent="0.25">
      <c r="A2" t="s">
        <v>65</v>
      </c>
      <c r="B2" t="s">
        <v>113</v>
      </c>
      <c r="C2" t="s">
        <v>114</v>
      </c>
      <c r="D2" t="s">
        <v>65</v>
      </c>
      <c r="E2" t="s">
        <v>115</v>
      </c>
      <c r="F2" t="s">
        <v>116</v>
      </c>
      <c r="G2" t="s">
        <v>117</v>
      </c>
      <c r="H2" t="s">
        <v>118</v>
      </c>
    </row>
    <row r="3" spans="1:8" x14ac:dyDescent="0.25">
      <c r="A3" t="s">
        <v>67</v>
      </c>
      <c r="B3" t="s">
        <v>61</v>
      </c>
      <c r="C3" t="s">
        <v>62</v>
      </c>
      <c r="D3" t="s">
        <v>64</v>
      </c>
      <c r="E3" t="s">
        <v>66</v>
      </c>
      <c r="F3" t="s">
        <v>119</v>
      </c>
      <c r="G3" t="s">
        <v>120</v>
      </c>
      <c r="H3" t="s">
        <v>121</v>
      </c>
    </row>
    <row r="4" spans="1:8" x14ac:dyDescent="0.25">
      <c r="A4" t="s">
        <v>122</v>
      </c>
      <c r="B4" t="s">
        <v>123</v>
      </c>
      <c r="C4" t="s">
        <v>124</v>
      </c>
      <c r="D4" t="s">
        <v>125</v>
      </c>
      <c r="F4" t="s">
        <v>73</v>
      </c>
      <c r="G4" t="s">
        <v>126</v>
      </c>
      <c r="H4" t="s">
        <v>127</v>
      </c>
    </row>
    <row r="5" spans="1:7" x14ac:dyDescent="0.25">
      <c r="A5" t="s">
        <v>128</v>
      </c>
      <c r="B5" t="s">
        <v>129</v>
      </c>
      <c r="C5" t="s">
        <v>130</v>
      </c>
      <c r="D5" t="s">
        <v>122</v>
      </c>
      <c r="F5" t="s">
        <v>131</v>
      </c>
      <c r="G5" t="s">
        <v>132</v>
      </c>
    </row>
    <row r="6" spans="1:7" x14ac:dyDescent="0.25">
      <c r="A6" t="s">
        <v>7</v>
      </c>
      <c r="B6" t="s">
        <v>133</v>
      </c>
      <c r="D6" t="s">
        <v>134</v>
      </c>
      <c r="F6" t="s">
        <v>135</v>
      </c>
      <c r="G6" t="s">
        <v>136</v>
      </c>
    </row>
    <row r="7" spans="1:6" x14ac:dyDescent="0.25">
      <c r="A7" t="s">
        <v>137</v>
      </c>
      <c r="F7" t="s">
        <v>138</v>
      </c>
    </row>
    <row r="8" spans="1:6" x14ac:dyDescent="0.25">
      <c r="A8" t="s">
        <v>139</v>
      </c>
      <c r="F8" t="s">
        <v>27</v>
      </c>
    </row>
    <row r="9" spans="1:6" x14ac:dyDescent="0.25">
      <c r="A9" t="s">
        <v>140</v>
      </c>
      <c r="F9" t="s">
        <v>141</v>
      </c>
    </row>
    <row r="10" spans="6:6" x14ac:dyDescent="0.25">
      <c r="F10" t="s">
        <v>142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6</vt:i4>
      </vt:variant>
    </vt:vector>
  </HeadingPairs>
  <TitlesOfParts>
    <vt:vector size="6" baseType="lpstr">
      <vt:lpstr>Dashboard</vt:lpstr>
      <vt:lpstr>Applications</vt:lpstr>
      <vt:lpstr>Professor Outreach</vt:lpstr>
      <vt:lpstr>Match Results</vt:lpstr>
      <vt:lpstr>My Profile</vt:lpstr>
      <vt:lpstr>Lists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Gradfessor by Afridi</dc:creator>
  <dc:title/>
  <dc:subject/>
  <dc:description/>
  <cp:keywords/>
  <cp:category/>
  <cp:lastModifiedBy>Unknown</cp:lastModifiedBy>
  <dcterms:created xsi:type="dcterms:W3CDTF">2026-09-24T17:00:11Z</dcterms:created>
  <dcterms:modified xsi:type="dcterms:W3CDTF">2026-09-24T17:00:11Z</dcterms:modified>
</cp:coreProperties>
</file>